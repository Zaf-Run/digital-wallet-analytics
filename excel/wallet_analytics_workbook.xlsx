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Fee_Model" sheetId="3" state="visible" r:id="rId5"/>
    <sheet name="KPI" sheetId="4" state="visible" r:id="rId6"/>
    <sheet name="Daily" sheetId="5" state="visible" r:id="rId7"/>
    <sheet name="Type" sheetId="6" state="visible" r:id="rId8"/>
    <sheet name="Hourly" sheetId="7" state="visible" r:id="rId9"/>
    <sheet name="Frequency" sheetId="8" state="visible" r:id="rId10"/>
    <sheet name="Segments" sheetId="9" state="visible" r:id="rId11"/>
    <sheet name="Balance" sheetId="10" state="visible" r:id="rId12"/>
    <sheet name="Fraud_Rules" sheetId="11" state="visible" r:id="rId13"/>
    <sheet name="Valida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<sst xmlns="http://schemas.openxmlformats.org/spreadsheetml/2006/main" count="343" uniqueCount="181">
  <si>
    <t xml:space="preserve">Digital Wallet Analytics workbook</t>
  </si>
  <si>
    <t xml:space="preserve">Source: PaySim mobile money log, 6,362,620 rows, 743 hourly steps (31 days, day 31 has 23 hours). Simulated currency units.</t>
  </si>
  <si>
    <t xml:space="preserve">Sheets: Assumptions and Fee_Model are formula driven. KPI, Daily, Type, Hourly, Balance, Segments, Validation hold results exported by python/analysis.py.</t>
  </si>
  <si>
    <t xml:space="preserve">Blue cells on Assumptions are inputs. Change them and Fee_Model recalculates.</t>
  </si>
  <si>
    <t xml:space="preserve">Revenue is a SCENARIO. The source file has no fee records. Fraud labelled rows earn no fee (assumed reversed).</t>
  </si>
  <si>
    <t xml:space="preserve">Fee_Model uses band averages, so it approximates the exact per transaction fee cap. Column 'Exact (Python)' shows the exact base case for comparison.</t>
  </si>
  <si>
    <t xml:space="preserve">Balances are pre and post transaction balances on each row, not snapshots. Only 43% of rows reconcile. See Balance and Validation sheets.</t>
  </si>
  <si>
    <t xml:space="preserve">Fee schedule assumptions (illustrative, not observed)</t>
  </si>
  <si>
    <t xml:space="preserve">type</t>
  </si>
  <si>
    <t xml:space="preserve">gross_rate</t>
  </si>
  <si>
    <t xml:space="preserve">partner_rate</t>
  </si>
  <si>
    <t xml:space="preserve">cap_per_txn</t>
  </si>
  <si>
    <t xml:space="preserve">CASH_IN</t>
  </si>
  <si>
    <t xml:space="preserve">CASH_OUT</t>
  </si>
  <si>
    <t xml:space="preserve">TRANSFER</t>
  </si>
  <si>
    <t xml:space="preserve">PAYMENT</t>
  </si>
  <si>
    <t xml:space="preserve">DEBIT</t>
  </si>
  <si>
    <t xml:space="preserve">Gross rate multiplier</t>
  </si>
  <si>
    <t xml:space="preserve">Use 0.5 for low, 1.0 base, 1.5 high. Cap applies per transaction to the gross fee.</t>
  </si>
  <si>
    <t xml:space="preserve">Partner rate is the cost paid to agents, processors or banks. Net revenue = gross fee minus partner cost.</t>
  </si>
  <si>
    <t xml:space="preserve">amount_band</t>
  </si>
  <si>
    <t xml:space="preserve">billable_txns</t>
  </si>
  <si>
    <t xml:space="preserve">billable_value</t>
  </si>
  <si>
    <t xml:space="preserve">avg_amount</t>
  </si>
  <si>
    <t xml:space="preserve">cap</t>
  </si>
  <si>
    <t xml:space="preserve">gross_fee</t>
  </si>
  <si>
    <t xml:space="preserve">partner_cost</t>
  </si>
  <si>
    <t xml:space="preserve">net_fee</t>
  </si>
  <si>
    <t xml:space="preserve">Summary by type</t>
  </si>
  <si>
    <t xml:space="preserve">a_0_1k</t>
  </si>
  <si>
    <t xml:space="preserve">net_share</t>
  </si>
  <si>
    <t xml:space="preserve">Exact net (Python base)</t>
  </si>
  <si>
    <t xml:space="preserve">Approx error</t>
  </si>
  <si>
    <t xml:space="preserve">b_1k_5k</t>
  </si>
  <si>
    <t xml:space="preserve">c_5k_10k</t>
  </si>
  <si>
    <t xml:space="preserve">d_10k_50k</t>
  </si>
  <si>
    <t xml:space="preserve">e_50k_100k</t>
  </si>
  <si>
    <t xml:space="preserve">f_100k_250k</t>
  </si>
  <si>
    <t xml:space="preserve">g_250k_500k</t>
  </si>
  <si>
    <t xml:space="preserve">Total</t>
  </si>
  <si>
    <t xml:space="preserve">h_500k_1M</t>
  </si>
  <si>
    <t xml:space="preserve">i_1M_5M</t>
  </si>
  <si>
    <t xml:space="preserve">Exact column is valid only when the multiplier is 1.0. Errors come from using band averages with a per transaction cap.</t>
  </si>
  <si>
    <t xml:space="preserve">j_5M_plus</t>
  </si>
  <si>
    <t xml:space="preserve">metric</t>
  </si>
  <si>
    <t xml:space="preserve">value</t>
  </si>
  <si>
    <t xml:space="preserve">rows_total</t>
  </si>
  <si>
    <t xml:space="preserve">window_hours</t>
  </si>
  <si>
    <t xml:space="preserve">calendar_days</t>
  </si>
  <si>
    <t xml:space="preserve">full_days</t>
  </si>
  <si>
    <t xml:space="preserve">txn_count</t>
  </si>
  <si>
    <t xml:space="preserve">txn_value</t>
  </si>
  <si>
    <t xml:space="preserve">median_amount</t>
  </si>
  <si>
    <t xml:space="preserve">billable_txn_count</t>
  </si>
  <si>
    <t xml:space="preserve">billable_txn_value</t>
  </si>
  <si>
    <t xml:space="preserve">fraud_count</t>
  </si>
  <si>
    <t xml:space="preserve">fraud_value</t>
  </si>
  <si>
    <t xml:space="preserve">fraud_rate_count</t>
  </si>
  <si>
    <t xml:space="preserve">fraud_rate_value</t>
  </si>
  <si>
    <t xml:space="preserve">flagged_count</t>
  </si>
  <si>
    <t xml:space="preserve">recon_exception_count</t>
  </si>
  <si>
    <t xml:space="preserve">recon_exception_rate</t>
  </si>
  <si>
    <t xml:space="preserve">mau_sender</t>
  </si>
  <si>
    <t xml:space="preserve">avg_dau_sender_31d</t>
  </si>
  <si>
    <t xml:space="preserve">avg_dau_sender_full_days</t>
  </si>
  <si>
    <t xml:space="preserve">dau_mau_sender_31d</t>
  </si>
  <si>
    <t xml:space="preserve">dau_mau_sender_full_days</t>
  </si>
  <si>
    <t xml:space="preserve">peak_dau</t>
  </si>
  <si>
    <t xml:space="preserve">peak_dau_day</t>
  </si>
  <si>
    <t xml:space="preserve">mau_participant</t>
  </si>
  <si>
    <t xml:space="preserve">avg_dau_participant_31d</t>
  </si>
  <si>
    <t xml:space="preserve">dau_mau_participant_31d</t>
  </si>
  <si>
    <t xml:space="preserve">customers_single_txn</t>
  </si>
  <si>
    <t xml:space="preserve">customers_repeat</t>
  </si>
  <si>
    <t xml:space="preserve">repeat_share</t>
  </si>
  <si>
    <t xml:space="preserve">max_txns_per_customer</t>
  </si>
  <si>
    <t xml:space="preserve">merchants_distinct</t>
  </si>
  <si>
    <t xml:space="preserve">gross_revenue_base</t>
  </si>
  <si>
    <t xml:space="preserve">partner_cost_base</t>
  </si>
  <si>
    <t xml:space="preserve">net_revenue_base</t>
  </si>
  <si>
    <t xml:space="preserve">avg_gross_fee_per_billable_txn</t>
  </si>
  <si>
    <t xml:space="preserve">fraud_value_to_net_revenue_base</t>
  </si>
  <si>
    <t xml:space="preserve">high_volume_days</t>
  </si>
  <si>
    <t xml:space="preserve">share_txns_in_high_volume_days</t>
  </si>
  <si>
    <t xml:space="preserve">median_balance_last_all</t>
  </si>
  <si>
    <t xml:space="preserve">mean_balance_last_all</t>
  </si>
  <si>
    <t xml:space="preserve">median_balance_last_reconciled</t>
  </si>
  <si>
    <t xml:space="preserve">mean_balance_last_reconciled</t>
  </si>
  <si>
    <t xml:space="preserve">day</t>
  </si>
  <si>
    <t xml:space="preserve">hours_covered</t>
  </si>
  <si>
    <t xml:space="preserve">is_full_day</t>
  </si>
  <si>
    <t xml:space="preserve">recon_exception</t>
  </si>
  <si>
    <t xml:space="preserve">billable_count</t>
  </si>
  <si>
    <t xml:space="preserve">gross_revenue</t>
  </si>
  <si>
    <t xml:space="preserve">net_revenue</t>
  </si>
  <si>
    <t xml:space="preserve">dau</t>
  </si>
  <si>
    <t xml:space="preserve">new_customers</t>
  </si>
  <si>
    <t xml:space="preserve">returning_customers</t>
  </si>
  <si>
    <t xml:space="preserve">high_volume_day</t>
  </si>
  <si>
    <t xml:space="preserve">avg_post_balance</t>
  </si>
  <si>
    <t xml:space="preserve">median_post_balance</t>
  </si>
  <si>
    <t xml:space="preserve">recon_txn</t>
  </si>
  <si>
    <t xml:space="preserve">count_share</t>
  </si>
  <si>
    <t xml:space="preserve">value_share</t>
  </si>
  <si>
    <t xml:space="preserve">gross_fee_pct_of_billable_value</t>
  </si>
  <si>
    <t xml:space="preserve">hour_of_day</t>
  </si>
  <si>
    <t xml:space="preserve">txns_per_customer</t>
  </si>
  <si>
    <t xml:space="preserve">customers</t>
  </si>
  <si>
    <t xml:space="preserve">share_of_customers</t>
  </si>
  <si>
    <t xml:space="preserve">segment</t>
  </si>
  <si>
    <t xml:space="preserve">txns</t>
  </si>
  <si>
    <t xml:space="preserve">customers_share</t>
  </si>
  <si>
    <t xml:space="preserve">gross_revenue_share</t>
  </si>
  <si>
    <t xml:space="preserve">net_revenue_share</t>
  </si>
  <si>
    <t xml:space="preserve">1 Top 1% by value</t>
  </si>
  <si>
    <t xml:space="preserve">2 Next 9%</t>
  </si>
  <si>
    <t xml:space="preserve">3 Next 40%</t>
  </si>
  <si>
    <t xml:space="preserve">4 Bottom 50%</t>
  </si>
  <si>
    <t xml:space="preserve">scope</t>
  </si>
  <si>
    <t xml:space="preserve">mean</t>
  </si>
  <si>
    <t xml:space="preserve">median</t>
  </si>
  <si>
    <t xml:space="preserve">p25</t>
  </si>
  <si>
    <t xml:space="preserve">p75</t>
  </si>
  <si>
    <t xml:space="preserve">p90</t>
  </si>
  <si>
    <t xml:space="preserve">p99</t>
  </si>
  <si>
    <t xml:space="preserve">share_zero</t>
  </si>
  <si>
    <t xml:space="preserve">All customers, last post transaction balance</t>
  </si>
  <si>
    <t xml:space="preserve">Reconciled rows only, last post transaction balance</t>
  </si>
  <si>
    <t xml:space="preserve">rule</t>
  </si>
  <si>
    <t xml:space="preserve">flagged</t>
  </si>
  <si>
    <t xml:space="preserve">true_fraud</t>
  </si>
  <si>
    <t xml:space="preserve">precision</t>
  </si>
  <si>
    <t xml:space="preserve">recall</t>
  </si>
  <si>
    <t xml:space="preserve">f1</t>
  </si>
  <si>
    <t xml:space="preserve">fraud_value_captured_share</t>
  </si>
  <si>
    <t xml:space="preserve">R0 System flag (isFlaggedFraud)</t>
  </si>
  <si>
    <t xml:space="preserve">R1 TRANSFER above 200,000</t>
  </si>
  <si>
    <t xml:space="preserve">R2 TRANSFER or CASH_OUT</t>
  </si>
  <si>
    <t xml:space="preserve">R3 TRANSFER or CASH_OUT draining the full opening balance</t>
  </si>
  <si>
    <t xml:space="preserve">check</t>
  </si>
  <si>
    <t xml:space="preserve">result</t>
  </si>
  <si>
    <t xml:space="preserve">expected</t>
  </si>
  <si>
    <t xml:space="preserve">status</t>
  </si>
  <si>
    <t xml:space="preserve">note</t>
  </si>
  <si>
    <t xml:space="preserve">Row count equals file data lines</t>
  </si>
  <si>
    <t xml:space="preserve">6362620</t>
  </si>
  <si>
    <t xml:space="preserve">PASS</t>
  </si>
  <si>
    <t xml:space="preserve">Null values across all columns</t>
  </si>
  <si>
    <t xml:space="preserve">0</t>
  </si>
  <si>
    <t xml:space="preserve">Negative amounts</t>
  </si>
  <si>
    <t xml:space="preserve">Zero amounts</t>
  </si>
  <si>
    <t xml:space="preserve">16</t>
  </si>
  <si>
    <t xml:space="preserve">REVIEW</t>
  </si>
  <si>
    <t xml:space="preserve">Zero value rows are all fraud labelled cash outs</t>
  </si>
  <si>
    <t xml:space="preserve">Duplicate rows on step, type, amount, customer, destination</t>
  </si>
  <si>
    <t xml:space="preserve">No retries or duplicates detectable</t>
  </si>
  <si>
    <t xml:space="preserve">File sorted by step (needed for last observation logic)</t>
  </si>
  <si>
    <t xml:space="preserve">True</t>
  </si>
  <si>
    <t xml:space="preserve">Distinct hourly steps</t>
  </si>
  <si>
    <t xml:space="preserve">743</t>
  </si>
  <si>
    <t xml:space="preserve">Calendar days covered (step / 24)</t>
  </si>
  <si>
    <t xml:space="preserve">31</t>
  </si>
  <si>
    <t xml:space="preserve">Day 31 holds 23 hours only</t>
  </si>
  <si>
    <t xml:space="preserve">Distinct transaction types</t>
  </si>
  <si>
    <t xml:space="preserve">5</t>
  </si>
  <si>
    <t xml:space="preserve">Fraud labelled rows only in TRANSFER and CASH_OUT</t>
  </si>
  <si>
    <t xml:space="preserve">Flagged rows are all fraud labelled</t>
  </si>
  <si>
    <t xml:space="preserve">Merchant destinations only on PAYMENT</t>
  </si>
  <si>
    <t xml:space="preserve">Originator balance reconciles to amount</t>
  </si>
  <si>
    <t xml:space="preserve">0.4339</t>
  </si>
  <si>
    <t xml:space="preserve">1.0000</t>
  </si>
  <si>
    <t xml:space="preserve">Pre and post balances reconcile for a minority of rows; see balance section</t>
  </si>
  <si>
    <t xml:space="preserve">Debit rows from an account with zero opening balance</t>
  </si>
  <si>
    <t xml:space="preserve">2088969</t>
  </si>
  <si>
    <t xml:space="preserve">Not possible in a live ledger</t>
  </si>
  <si>
    <t xml:space="preserve">Debit rows where amount exceeds opening balance</t>
  </si>
  <si>
    <t xml:space="preserve">3601543</t>
  </si>
  <si>
    <t xml:space="preserve">Overdraft or unreliable balance field</t>
  </si>
  <si>
    <t xml:space="preserve">Customer destination balance reconciles to amount</t>
  </si>
  <si>
    <t xml:space="preserve">0.6028</t>
  </si>
  <si>
    <t xml:space="preserve">Destination balances not usable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</si>
</sst>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.00%"/>
    <numFmt numFmtId="168" formatCode="#,##0.0000"/>
    <numFmt numFmtId="169" formatCode="General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active users (non fraud senders)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Daily!O1</c:f>
              <c:strCache>
                <c:ptCount val="1"/>
                <c:pt idx="0">
                  <c:v>dau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Daily!$A$2:$A$32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Daily!$O$2:$O$32</c:f>
              <c:numCache>
                <c:formatCode>#,##0</c:formatCode>
                <c:ptCount val="31"/>
                <c:pt idx="0">
                  <c:v>573913</c:v>
                </c:pt>
                <c:pt idx="1">
                  <c:v>454879</c:v>
                </c:pt>
                <c:pt idx="2">
                  <c:v>760</c:v>
                </c:pt>
                <c:pt idx="3">
                  <c:v>27978</c:v>
                </c:pt>
                <c:pt idx="4">
                  <c:v>9537</c:v>
                </c:pt>
                <c:pt idx="5">
                  <c:v>440734</c:v>
                </c:pt>
                <c:pt idx="6">
                  <c:v>420276</c:v>
                </c:pt>
                <c:pt idx="7">
                  <c:v>449311</c:v>
                </c:pt>
                <c:pt idx="8">
                  <c:v>417628</c:v>
                </c:pt>
                <c:pt idx="9">
                  <c:v>392627</c:v>
                </c:pt>
                <c:pt idx="10">
                  <c:v>417557</c:v>
                </c:pt>
                <c:pt idx="11">
                  <c:v>349452</c:v>
                </c:pt>
                <c:pt idx="12">
                  <c:v>428296</c:v>
                </c:pt>
                <c:pt idx="13">
                  <c:v>397595</c:v>
                </c:pt>
                <c:pt idx="14">
                  <c:v>401008</c:v>
                </c:pt>
                <c:pt idx="15">
                  <c:v>375309</c:v>
                </c:pt>
                <c:pt idx="16">
                  <c:v>425400</c:v>
                </c:pt>
                <c:pt idx="17">
                  <c:v>20731</c:v>
                </c:pt>
                <c:pt idx="18">
                  <c:v>11043</c:v>
                </c:pt>
                <c:pt idx="19">
                  <c:v>19491</c:v>
                </c:pt>
                <c:pt idx="20">
                  <c:v>24321</c:v>
                </c:pt>
                <c:pt idx="21">
                  <c:v>53181</c:v>
                </c:pt>
                <c:pt idx="22">
                  <c:v>50796</c:v>
                </c:pt>
                <c:pt idx="23">
                  <c:v>32429</c:v>
                </c:pt>
                <c:pt idx="24">
                  <c:v>57612</c:v>
                </c:pt>
                <c:pt idx="25">
                  <c:v>13613</c:v>
                </c:pt>
                <c:pt idx="26">
                  <c:v>8298</c:v>
                </c:pt>
                <c:pt idx="27">
                  <c:v>14413</c:v>
                </c:pt>
                <c:pt idx="28">
                  <c:v>54629</c:v>
                </c:pt>
                <c:pt idx="29">
                  <c:v>11019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909854"/>
        <c:axId val="48544968"/>
      </c:lineChart>
      <c:catAx>
        <c:axId val="96909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4968"/>
        <c:crosses val="autoZero"/>
        <c:auto val="1"/>
        <c:lblAlgn val="ctr"/>
        <c:lblOffset val="100"/>
        <c:noMultiLvlLbl val="0"/>
      </c:catAx>
      <c:valAx>
        <c:axId val="48544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09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6</xdr:col>
      <xdr:colOff>840960</xdr:colOff>
      <xdr:row>50</xdr:row>
      <xdr:rowOff>22320</xdr:rowOff>
    </xdr:to>
    <xdr:graphicFrame>
      <xdr:nvGraphicFramePr>
        <xdr:cNvPr id="0" name="Chart 1"/>
        <xdr:cNvGraphicFramePr/>
      </xdr:nvGraphicFramePr>
      <xdr:xfrm>
        <a:off x="0" y="6667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5" hidden="false" customHeight="false" outlineLevel="0" collapsed="false">
      <c r="A4" s="2" t="s">
        <v>12</v>
      </c>
      <c r="B4" s="4" t="n">
        <v>0</v>
      </c>
      <c r="C4" s="4" t="n">
        <v>0</v>
      </c>
      <c r="D4" s="5" t="n">
        <v>5000</v>
      </c>
    </row>
    <row r="5" customFormat="false" ht="15" hidden="false" customHeight="false" outlineLevel="0" collapsed="false">
      <c r="A5" s="2" t="s">
        <v>13</v>
      </c>
      <c r="B5" s="4" t="n">
        <v>0.015</v>
      </c>
      <c r="C5" s="4" t="n">
        <v>0.009</v>
      </c>
      <c r="D5" s="5" t="n">
        <v>5000</v>
      </c>
    </row>
    <row r="6" customFormat="false" ht="15" hidden="false" customHeight="false" outlineLevel="0" collapsed="false">
      <c r="A6" s="2" t="s">
        <v>14</v>
      </c>
      <c r="B6" s="4" t="n">
        <v>0.005</v>
      </c>
      <c r="C6" s="4" t="n">
        <v>0.001</v>
      </c>
      <c r="D6" s="5" t="n">
        <v>5000</v>
      </c>
    </row>
    <row r="7" customFormat="false" ht="15" hidden="false" customHeight="false" outlineLevel="0" collapsed="false">
      <c r="A7" s="2" t="s">
        <v>15</v>
      </c>
      <c r="B7" s="4" t="n">
        <v>0.01</v>
      </c>
      <c r="C7" s="4" t="n">
        <v>0.004</v>
      </c>
      <c r="D7" s="5" t="n">
        <v>5000</v>
      </c>
    </row>
    <row r="8" customFormat="false" ht="15" hidden="false" customHeight="false" outlineLevel="0" collapsed="false">
      <c r="A8" s="2" t="s">
        <v>16</v>
      </c>
      <c r="B8" s="4" t="n">
        <v>0.005</v>
      </c>
      <c r="C8" s="4" t="n">
        <v>0.002</v>
      </c>
      <c r="D8" s="5" t="n">
        <v>5000</v>
      </c>
    </row>
    <row r="10" customFormat="false" ht="15" hidden="false" customHeight="false" outlineLevel="0" collapsed="false">
      <c r="A10" s="2" t="s">
        <v>17</v>
      </c>
      <c r="B10" s="6" t="n">
        <v>1</v>
      </c>
    </row>
    <row r="11" customFormat="false" ht="15" hidden="false" customHeight="false" outlineLevel="0" collapsed="false">
      <c r="A11" s="2" t="s">
        <v>18</v>
      </c>
    </row>
    <row r="12" customFormat="false" ht="15" hidden="false" customHeight="false" outlineLevel="0" collapsed="false">
      <c r="A12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  <col collapsed="false" customWidth="true" hidden="false" outlineLevel="0" max="18" min="12" style="0" width="20"/>
  </cols>
  <sheetData>
    <row r="1" customFormat="false" ht="15" hidden="false" customHeight="false" outlineLevel="0" collapsed="false">
      <c r="A1" s="3" t="s">
        <v>8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9</v>
      </c>
      <c r="G1" s="3" t="s">
        <v>24</v>
      </c>
      <c r="H1" s="3" t="s">
        <v>25</v>
      </c>
      <c r="I1" s="3" t="s">
        <v>26</v>
      </c>
      <c r="J1" s="3" t="s">
        <v>27</v>
      </c>
      <c r="L1" s="1" t="s">
        <v>28</v>
      </c>
    </row>
    <row r="2" customFormat="false" ht="15" hidden="false" customHeight="false" outlineLevel="0" collapsed="false">
      <c r="A2" s="2" t="s">
        <v>12</v>
      </c>
      <c r="B2" s="2" t="s">
        <v>29</v>
      </c>
      <c r="C2" s="5" t="n">
        <v>4633</v>
      </c>
      <c r="D2" s="5" t="n">
        <v>2296571.16</v>
      </c>
      <c r="E2" s="7" t="n">
        <f aca="false">IF(C2=0,0,D2/C2)</f>
        <v>495.698502050507</v>
      </c>
      <c r="F2" s="8" t="n">
        <f aca="false">INDEX(Assumptions!$B$4:$B$8,MATCH(A2,Assumptions!$A$4:$A$8,0))*Assumptions!$B$10</f>
        <v>0</v>
      </c>
      <c r="G2" s="7" t="n">
        <f aca="false">INDEX(Assumptions!$D$4:$D$8,MATCH(A2,Assumptions!$A$4:$A$8,0))</f>
        <v>5000</v>
      </c>
      <c r="H2" s="7" t="n">
        <f aca="false">C2*MIN(E2*F2,G2)</f>
        <v>0</v>
      </c>
      <c r="I2" s="7" t="n">
        <f aca="false">IF(INDEX(Assumptions!$B$4:$B$8,MATCH(A2,Assumptions!$A$4:$A$8,0))=0,0,H2*INDEX(Assumptions!$C$4:$C$8,MATCH(A2,Assumptions!$A$4:$A$8,0))/INDEX(Assumptions!$B$4:$B$8,MATCH(A2,Assumptions!$A$4:$A$8,0)))</f>
        <v>0</v>
      </c>
      <c r="J2" s="7" t="n">
        <f aca="false">H2-I2</f>
        <v>0</v>
      </c>
      <c r="L2" s="3" t="s">
        <v>8</v>
      </c>
      <c r="M2" s="3" t="s">
        <v>25</v>
      </c>
      <c r="N2" s="3" t="s">
        <v>26</v>
      </c>
      <c r="O2" s="3" t="s">
        <v>27</v>
      </c>
      <c r="P2" s="3" t="s">
        <v>30</v>
      </c>
      <c r="Q2" s="3" t="s">
        <v>31</v>
      </c>
      <c r="R2" s="3" t="s">
        <v>32</v>
      </c>
    </row>
    <row r="3" customFormat="false" ht="15" hidden="false" customHeight="false" outlineLevel="0" collapsed="false">
      <c r="A3" s="2" t="s">
        <v>12</v>
      </c>
      <c r="B3" s="2" t="s">
        <v>33</v>
      </c>
      <c r="C3" s="5" t="n">
        <v>19041</v>
      </c>
      <c r="D3" s="5" t="n">
        <v>57452992.65</v>
      </c>
      <c r="E3" s="7" t="n">
        <f aca="false">IF(C3=0,0,D3/C3)</f>
        <v>3017.33063652119</v>
      </c>
      <c r="F3" s="8" t="n">
        <f aca="false">INDEX(Assumptions!$B$4:$B$8,MATCH(A3,Assumptions!$A$4:$A$8,0))*Assumptions!$B$10</f>
        <v>0</v>
      </c>
      <c r="G3" s="7" t="n">
        <f aca="false">INDEX(Assumptions!$D$4:$D$8,MATCH(A3,Assumptions!$A$4:$A$8,0))</f>
        <v>5000</v>
      </c>
      <c r="H3" s="7" t="n">
        <f aca="false">C3*MIN(E3*F3,G3)</f>
        <v>0</v>
      </c>
      <c r="I3" s="7" t="n">
        <f aca="false">IF(INDEX(Assumptions!$B$4:$B$8,MATCH(A3,Assumptions!$A$4:$A$8,0))=0,0,H3*INDEX(Assumptions!$C$4:$C$8,MATCH(A3,Assumptions!$A$4:$A$8,0))/INDEX(Assumptions!$B$4:$B$8,MATCH(A3,Assumptions!$A$4:$A$8,0)))</f>
        <v>0</v>
      </c>
      <c r="J3" s="7" t="n">
        <f aca="false">H3-I3</f>
        <v>0</v>
      </c>
      <c r="L3" s="2" t="s">
        <v>12</v>
      </c>
      <c r="M3" s="9" t="n">
        <f aca="false">SUMIFS($H$2:$H$43,$A$2:$A$43,$L3)</f>
        <v>0</v>
      </c>
      <c r="N3" s="9" t="n">
        <f aca="false">SUMIFS($I$2:$I$43,$A$2:$A$43,$L3)</f>
        <v>0</v>
      </c>
      <c r="O3" s="9" t="n">
        <f aca="false">SUMIFS($J$2:$J$43,$A$2:$A$43,$L3)</f>
        <v>0</v>
      </c>
      <c r="P3" s="10" t="n">
        <f aca="false">IF($O$8=0,0,O3/$O$8)</f>
        <v>0</v>
      </c>
      <c r="Q3" s="5" t="n">
        <v>0</v>
      </c>
      <c r="R3" s="10" t="n">
        <f aca="false">IF(Q3=0,0,O3/Q3-1)</f>
        <v>0</v>
      </c>
    </row>
    <row r="4" customFormat="false" ht="15" hidden="false" customHeight="false" outlineLevel="0" collapsed="false">
      <c r="A4" s="2" t="s">
        <v>12</v>
      </c>
      <c r="B4" s="2" t="s">
        <v>34</v>
      </c>
      <c r="C4" s="5" t="n">
        <v>24018</v>
      </c>
      <c r="D4" s="5" t="n">
        <v>180223429.64</v>
      </c>
      <c r="E4" s="7" t="n">
        <f aca="false">IF(C4=0,0,D4/C4)</f>
        <v>7503.6818069781</v>
      </c>
      <c r="F4" s="8" t="n">
        <f aca="false">INDEX(Assumptions!$B$4:$B$8,MATCH(A4,Assumptions!$A$4:$A$8,0))*Assumptions!$B$10</f>
        <v>0</v>
      </c>
      <c r="G4" s="7" t="n">
        <f aca="false">INDEX(Assumptions!$D$4:$D$8,MATCH(A4,Assumptions!$A$4:$A$8,0))</f>
        <v>5000</v>
      </c>
      <c r="H4" s="7" t="n">
        <f aca="false">C4*MIN(E4*F4,G4)</f>
        <v>0</v>
      </c>
      <c r="I4" s="7" t="n">
        <f aca="false">IF(INDEX(Assumptions!$B$4:$B$8,MATCH(A4,Assumptions!$A$4:$A$8,0))=0,0,H4*INDEX(Assumptions!$C$4:$C$8,MATCH(A4,Assumptions!$A$4:$A$8,0))/INDEX(Assumptions!$B$4:$B$8,MATCH(A4,Assumptions!$A$4:$A$8,0)))</f>
        <v>0</v>
      </c>
      <c r="J4" s="7" t="n">
        <f aca="false">H4-I4</f>
        <v>0</v>
      </c>
      <c r="L4" s="2" t="s">
        <v>13</v>
      </c>
      <c r="M4" s="9" t="n">
        <f aca="false">SUMIFS($H$2:$H$43,$A$2:$A$43,$L4)</f>
        <v>5606042356.0999</v>
      </c>
      <c r="N4" s="9" t="n">
        <f aca="false">SUMIFS($I$2:$I$43,$A$2:$A$43,$L4)</f>
        <v>3363625413.65994</v>
      </c>
      <c r="O4" s="9" t="n">
        <f aca="false">SUMIFS($J$2:$J$43,$A$2:$A$43,$L4)</f>
        <v>2242416942.43996</v>
      </c>
      <c r="P4" s="10" t="n">
        <f aca="false">IF($O$8=0,0,O4/$O$8)</f>
        <v>0.632102863473617</v>
      </c>
      <c r="Q4" s="5" t="n">
        <v>2168182356.25776</v>
      </c>
      <c r="R4" s="10" t="n">
        <f aca="false">IF(Q4=0,0,O4/Q4-1)</f>
        <v>0.0342381654236534</v>
      </c>
    </row>
    <row r="5" customFormat="false" ht="15" hidden="false" customHeight="false" outlineLevel="0" collapsed="false">
      <c r="A5" s="2" t="s">
        <v>12</v>
      </c>
      <c r="B5" s="2" t="s">
        <v>35</v>
      </c>
      <c r="C5" s="5" t="n">
        <v>198263</v>
      </c>
      <c r="D5" s="5" t="n">
        <v>5977170924.2</v>
      </c>
      <c r="E5" s="7" t="n">
        <f aca="false">IF(C5=0,0,D5/C5)</f>
        <v>30147.6872850708</v>
      </c>
      <c r="F5" s="8" t="n">
        <f aca="false">INDEX(Assumptions!$B$4:$B$8,MATCH(A5,Assumptions!$A$4:$A$8,0))*Assumptions!$B$10</f>
        <v>0</v>
      </c>
      <c r="G5" s="7" t="n">
        <f aca="false">INDEX(Assumptions!$D$4:$D$8,MATCH(A5,Assumptions!$A$4:$A$8,0))</f>
        <v>5000</v>
      </c>
      <c r="H5" s="7" t="n">
        <f aca="false">C5*MIN(E5*F5,G5)</f>
        <v>0</v>
      </c>
      <c r="I5" s="7" t="n">
        <f aca="false">IF(INDEX(Assumptions!$B$4:$B$8,MATCH(A5,Assumptions!$A$4:$A$8,0))=0,0,H5*INDEX(Assumptions!$C$4:$C$8,MATCH(A5,Assumptions!$A$4:$A$8,0))/INDEX(Assumptions!$B$4:$B$8,MATCH(A5,Assumptions!$A$4:$A$8,0)))</f>
        <v>0</v>
      </c>
      <c r="J5" s="7" t="n">
        <f aca="false">H5-I5</f>
        <v>0</v>
      </c>
      <c r="L5" s="2" t="s">
        <v>16</v>
      </c>
      <c r="M5" s="9" t="n">
        <f aca="false">SUMIFS($H$2:$H$43,$A$2:$A$43,$L5)</f>
        <v>1135996.1064</v>
      </c>
      <c r="N5" s="9" t="n">
        <f aca="false">SUMIFS($I$2:$I$43,$A$2:$A$43,$L5)</f>
        <v>454398.44256</v>
      </c>
      <c r="O5" s="9" t="n">
        <f aca="false">SUMIFS($J$2:$J$43,$A$2:$A$43,$L5)</f>
        <v>681597.66384</v>
      </c>
      <c r="P5" s="10" t="n">
        <f aca="false">IF($O$8=0,0,O5/$O$8)</f>
        <v>0.000192131903258543</v>
      </c>
      <c r="Q5" s="5" t="n">
        <v>681597.66384</v>
      </c>
      <c r="R5" s="10" t="n">
        <f aca="false">IF(Q5=0,0,O5/Q5-1)</f>
        <v>0</v>
      </c>
    </row>
    <row r="6" customFormat="false" ht="15" hidden="false" customHeight="false" outlineLevel="0" collapsed="false">
      <c r="A6" s="2" t="s">
        <v>12</v>
      </c>
      <c r="B6" s="2" t="s">
        <v>36</v>
      </c>
      <c r="C6" s="5" t="n">
        <v>251493</v>
      </c>
      <c r="D6" s="5" t="n">
        <v>18840083110.9</v>
      </c>
      <c r="E6" s="7" t="n">
        <f aca="false">IF(C6=0,0,D6/C6)</f>
        <v>74912.9522925091</v>
      </c>
      <c r="F6" s="8" t="n">
        <f aca="false">INDEX(Assumptions!$B$4:$B$8,MATCH(A6,Assumptions!$A$4:$A$8,0))*Assumptions!$B$10</f>
        <v>0</v>
      </c>
      <c r="G6" s="7" t="n">
        <f aca="false">INDEX(Assumptions!$D$4:$D$8,MATCH(A6,Assumptions!$A$4:$A$8,0))</f>
        <v>5000</v>
      </c>
      <c r="H6" s="7" t="n">
        <f aca="false">C6*MIN(E6*F6,G6)</f>
        <v>0</v>
      </c>
      <c r="I6" s="7" t="n">
        <f aca="false">IF(INDEX(Assumptions!$B$4:$B$8,MATCH(A6,Assumptions!$A$4:$A$8,0))=0,0,H6*INDEX(Assumptions!$C$4:$C$8,MATCH(A6,Assumptions!$A$4:$A$8,0))/INDEX(Assumptions!$B$4:$B$8,MATCH(A6,Assumptions!$A$4:$A$8,0)))</f>
        <v>0</v>
      </c>
      <c r="J6" s="7" t="n">
        <f aca="false">H6-I6</f>
        <v>0</v>
      </c>
      <c r="L6" s="2" t="s">
        <v>15</v>
      </c>
      <c r="M6" s="9" t="n">
        <f aca="false">SUMIFS($H$2:$H$43,$A$2:$A$43,$L6)</f>
        <v>280933711.3837</v>
      </c>
      <c r="N6" s="9" t="n">
        <f aca="false">SUMIFS($I$2:$I$43,$A$2:$A$43,$L6)</f>
        <v>112373484.55348</v>
      </c>
      <c r="O6" s="9" t="n">
        <f aca="false">SUMIFS($J$2:$J$43,$A$2:$A$43,$L6)</f>
        <v>168560226.83022</v>
      </c>
      <c r="P6" s="10" t="n">
        <f aca="false">IF($O$8=0,0,O6/$O$8)</f>
        <v>0.0475145366727434</v>
      </c>
      <c r="Q6" s="5" t="n">
        <v>168560226.83022</v>
      </c>
      <c r="R6" s="10" t="n">
        <f aca="false">IF(Q6=0,0,O6/Q6-1)</f>
        <v>0</v>
      </c>
    </row>
    <row r="7" customFormat="false" ht="15" hidden="false" customHeight="false" outlineLevel="0" collapsed="false">
      <c r="A7" s="2" t="s">
        <v>12</v>
      </c>
      <c r="B7" s="2" t="s">
        <v>37</v>
      </c>
      <c r="C7" s="5" t="n">
        <v>579328</v>
      </c>
      <c r="D7" s="5" t="n">
        <v>97021518290.9</v>
      </c>
      <c r="E7" s="7" t="n">
        <f aca="false">IF(C7=0,0,D7/C7)</f>
        <v>167472.516934966</v>
      </c>
      <c r="F7" s="8" t="n">
        <f aca="false">INDEX(Assumptions!$B$4:$B$8,MATCH(A7,Assumptions!$A$4:$A$8,0))*Assumptions!$B$10</f>
        <v>0</v>
      </c>
      <c r="G7" s="7" t="n">
        <f aca="false">INDEX(Assumptions!$D$4:$D$8,MATCH(A7,Assumptions!$A$4:$A$8,0))</f>
        <v>5000</v>
      </c>
      <c r="H7" s="7" t="n">
        <f aca="false">C7*MIN(E7*F7,G7)</f>
        <v>0</v>
      </c>
      <c r="I7" s="7" t="n">
        <f aca="false">IF(INDEX(Assumptions!$B$4:$B$8,MATCH(A7,Assumptions!$A$4:$A$8,0))=0,0,H7*INDEX(Assumptions!$C$4:$C$8,MATCH(A7,Assumptions!$A$4:$A$8,0))/INDEX(Assumptions!$B$4:$B$8,MATCH(A7,Assumptions!$A$4:$A$8,0)))</f>
        <v>0</v>
      </c>
      <c r="J7" s="7" t="n">
        <f aca="false">H7-I7</f>
        <v>0</v>
      </c>
      <c r="L7" s="2" t="s">
        <v>14</v>
      </c>
      <c r="M7" s="9" t="n">
        <f aca="false">SUMIFS($H$2:$H$43,$A$2:$A$43,$L7)</f>
        <v>1419864889.9367</v>
      </c>
      <c r="N7" s="9" t="n">
        <f aca="false">SUMIFS($I$2:$I$43,$A$2:$A$43,$L7)</f>
        <v>283972977.98734</v>
      </c>
      <c r="O7" s="9" t="n">
        <f aca="false">SUMIFS($J$2:$J$43,$A$2:$A$43,$L7)</f>
        <v>1135891911.94936</v>
      </c>
      <c r="P7" s="10" t="n">
        <f aca="false">IF($O$8=0,0,O7/$O$8)</f>
        <v>0.320190467950381</v>
      </c>
      <c r="Q7" s="5" t="n">
        <v>1135891911.94936</v>
      </c>
      <c r="R7" s="10" t="n">
        <f aca="false">IF(Q7=0,0,O7/Q7-1)</f>
        <v>0</v>
      </c>
    </row>
    <row r="8" customFormat="false" ht="15" hidden="false" customHeight="false" outlineLevel="0" collapsed="false">
      <c r="A8" s="2" t="s">
        <v>12</v>
      </c>
      <c r="B8" s="2" t="s">
        <v>38</v>
      </c>
      <c r="C8" s="5" t="n">
        <v>296527</v>
      </c>
      <c r="D8" s="5" t="n">
        <v>99191560643.33</v>
      </c>
      <c r="E8" s="7" t="n">
        <f aca="false">IF(C8=0,0,D8/C8)</f>
        <v>334511.058498316</v>
      </c>
      <c r="F8" s="8" t="n">
        <f aca="false">INDEX(Assumptions!$B$4:$B$8,MATCH(A8,Assumptions!$A$4:$A$8,0))*Assumptions!$B$10</f>
        <v>0</v>
      </c>
      <c r="G8" s="7" t="n">
        <f aca="false">INDEX(Assumptions!$D$4:$D$8,MATCH(A8,Assumptions!$A$4:$A$8,0))</f>
        <v>5000</v>
      </c>
      <c r="H8" s="7" t="n">
        <f aca="false">C8*MIN(E8*F8,G8)</f>
        <v>0</v>
      </c>
      <c r="I8" s="7" t="n">
        <f aca="false">IF(INDEX(Assumptions!$B$4:$B$8,MATCH(A8,Assumptions!$A$4:$A$8,0))=0,0,H8*INDEX(Assumptions!$C$4:$C$8,MATCH(A8,Assumptions!$A$4:$A$8,0))/INDEX(Assumptions!$B$4:$B$8,MATCH(A8,Assumptions!$A$4:$A$8,0)))</f>
        <v>0</v>
      </c>
      <c r="J8" s="7" t="n">
        <f aca="false">H8-I8</f>
        <v>0</v>
      </c>
      <c r="L8" s="1" t="s">
        <v>39</v>
      </c>
      <c r="M8" s="9" t="n">
        <f aca="false">SUM(M3:M7)</f>
        <v>7307976953.5267</v>
      </c>
      <c r="N8" s="9" t="n">
        <f aca="false">SUM(N3:N7)</f>
        <v>3760426274.64332</v>
      </c>
      <c r="O8" s="9" t="n">
        <f aca="false">SUM(O3:O7)</f>
        <v>3547550678.88338</v>
      </c>
      <c r="Q8" s="9" t="n">
        <f aca="false">SUM(Q3:Q7)</f>
        <v>3473316092.70118</v>
      </c>
      <c r="R8" s="10" t="n">
        <f aca="false">IF(Q8=0,0,O8/Q8-1)</f>
        <v>0.0213728276381744</v>
      </c>
    </row>
    <row r="9" customFormat="false" ht="15" hidden="false" customHeight="false" outlineLevel="0" collapsed="false">
      <c r="A9" s="2" t="s">
        <v>12</v>
      </c>
      <c r="B9" s="2" t="s">
        <v>40</v>
      </c>
      <c r="C9" s="5" t="n">
        <v>25862</v>
      </c>
      <c r="D9" s="5" t="n">
        <v>14952818320.51</v>
      </c>
      <c r="E9" s="7" t="n">
        <f aca="false">IF(C9=0,0,D9/C9)</f>
        <v>578177.18353221</v>
      </c>
      <c r="F9" s="8" t="n">
        <f aca="false">INDEX(Assumptions!$B$4:$B$8,MATCH(A9,Assumptions!$A$4:$A$8,0))*Assumptions!$B$10</f>
        <v>0</v>
      </c>
      <c r="G9" s="7" t="n">
        <f aca="false">INDEX(Assumptions!$D$4:$D$8,MATCH(A9,Assumptions!$A$4:$A$8,0))</f>
        <v>5000</v>
      </c>
      <c r="H9" s="7" t="n">
        <f aca="false">C9*MIN(E9*F9,G9)</f>
        <v>0</v>
      </c>
      <c r="I9" s="7" t="n">
        <f aca="false">IF(INDEX(Assumptions!$B$4:$B$8,MATCH(A9,Assumptions!$A$4:$A$8,0))=0,0,H9*INDEX(Assumptions!$C$4:$C$8,MATCH(A9,Assumptions!$A$4:$A$8,0))/INDEX(Assumptions!$B$4:$B$8,MATCH(A9,Assumptions!$A$4:$A$8,0)))</f>
        <v>0</v>
      </c>
      <c r="J9" s="7" t="n">
        <f aca="false">H9-I9</f>
        <v>0</v>
      </c>
    </row>
    <row r="10" customFormat="false" ht="15" hidden="false" customHeight="false" outlineLevel="0" collapsed="false">
      <c r="A10" s="2" t="s">
        <v>12</v>
      </c>
      <c r="B10" s="2" t="s">
        <v>41</v>
      </c>
      <c r="C10" s="5" t="n">
        <v>119</v>
      </c>
      <c r="D10" s="5" t="n">
        <v>144267629.17</v>
      </c>
      <c r="E10" s="7" t="n">
        <f aca="false">IF(C10=0,0,D10/C10)</f>
        <v>1212333.01823529</v>
      </c>
      <c r="F10" s="8" t="n">
        <f aca="false">INDEX(Assumptions!$B$4:$B$8,MATCH(A10,Assumptions!$A$4:$A$8,0))*Assumptions!$B$10</f>
        <v>0</v>
      </c>
      <c r="G10" s="7" t="n">
        <f aca="false">INDEX(Assumptions!$D$4:$D$8,MATCH(A10,Assumptions!$A$4:$A$8,0))</f>
        <v>5000</v>
      </c>
      <c r="H10" s="7" t="n">
        <f aca="false">C10*MIN(E10*F10,G10)</f>
        <v>0</v>
      </c>
      <c r="I10" s="7" t="n">
        <f aca="false">IF(INDEX(Assumptions!$B$4:$B$8,MATCH(A10,Assumptions!$A$4:$A$8,0))=0,0,H10*INDEX(Assumptions!$C$4:$C$8,MATCH(A10,Assumptions!$A$4:$A$8,0))/INDEX(Assumptions!$B$4:$B$8,MATCH(A10,Assumptions!$A$4:$A$8,0)))</f>
        <v>0</v>
      </c>
      <c r="J10" s="7" t="n">
        <f aca="false">H10-I10</f>
        <v>0</v>
      </c>
      <c r="L10" s="2" t="s">
        <v>42</v>
      </c>
    </row>
    <row r="11" customFormat="false" ht="15" hidden="false" customHeight="false" outlineLevel="0" collapsed="false">
      <c r="A11" s="2" t="s">
        <v>13</v>
      </c>
      <c r="B11" s="2" t="s">
        <v>29</v>
      </c>
      <c r="C11" s="5" t="n">
        <v>7187</v>
      </c>
      <c r="D11" s="5" t="n">
        <v>3599282.85</v>
      </c>
      <c r="E11" s="7" t="n">
        <f aca="false">IF(C11=0,0,D11/C11)</f>
        <v>500.804626408794</v>
      </c>
      <c r="F11" s="8" t="n">
        <f aca="false">INDEX(Assumptions!$B$4:$B$8,MATCH(A11,Assumptions!$A$4:$A$8,0))*Assumptions!$B$10</f>
        <v>0.015</v>
      </c>
      <c r="G11" s="7" t="n">
        <f aca="false">INDEX(Assumptions!$D$4:$D$8,MATCH(A11,Assumptions!$A$4:$A$8,0))</f>
        <v>5000</v>
      </c>
      <c r="H11" s="7" t="n">
        <f aca="false">C11*MIN(E11*F11,G11)</f>
        <v>53989.24275</v>
      </c>
      <c r="I11" s="7" t="n">
        <f aca="false">IF(INDEX(Assumptions!$B$4:$B$8,MATCH(A11,Assumptions!$A$4:$A$8,0))=0,0,H11*INDEX(Assumptions!$C$4:$C$8,MATCH(A11,Assumptions!$A$4:$A$8,0))/INDEX(Assumptions!$B$4:$B$8,MATCH(A11,Assumptions!$A$4:$A$8,0)))</f>
        <v>32393.54565</v>
      </c>
      <c r="J11" s="7" t="n">
        <f aca="false">H11-I11</f>
        <v>21595.6971</v>
      </c>
    </row>
    <row r="12" customFormat="false" ht="15" hidden="false" customHeight="false" outlineLevel="0" collapsed="false">
      <c r="A12" s="2" t="s">
        <v>13</v>
      </c>
      <c r="B12" s="2" t="s">
        <v>33</v>
      </c>
      <c r="C12" s="5" t="n">
        <v>28781</v>
      </c>
      <c r="D12" s="5" t="n">
        <v>86340524.06</v>
      </c>
      <c r="E12" s="7" t="n">
        <f aca="false">IF(C12=0,0,D12/C12)</f>
        <v>2999.91397310726</v>
      </c>
      <c r="F12" s="8" t="n">
        <f aca="false">INDEX(Assumptions!$B$4:$B$8,MATCH(A12,Assumptions!$A$4:$A$8,0))*Assumptions!$B$10</f>
        <v>0.015</v>
      </c>
      <c r="G12" s="7" t="n">
        <f aca="false">INDEX(Assumptions!$D$4:$D$8,MATCH(A12,Assumptions!$A$4:$A$8,0))</f>
        <v>5000</v>
      </c>
      <c r="H12" s="7" t="n">
        <f aca="false">C12*MIN(E12*F12,G12)</f>
        <v>1295107.8609</v>
      </c>
      <c r="I12" s="7" t="n">
        <f aca="false">IF(INDEX(Assumptions!$B$4:$B$8,MATCH(A12,Assumptions!$A$4:$A$8,0))=0,0,H12*INDEX(Assumptions!$C$4:$C$8,MATCH(A12,Assumptions!$A$4:$A$8,0))/INDEX(Assumptions!$B$4:$B$8,MATCH(A12,Assumptions!$A$4:$A$8,0)))</f>
        <v>777064.71654</v>
      </c>
      <c r="J12" s="7" t="n">
        <f aca="false">H12-I12</f>
        <v>518043.14436</v>
      </c>
    </row>
    <row r="13" customFormat="false" ht="15" hidden="false" customHeight="false" outlineLevel="0" collapsed="false">
      <c r="A13" s="2" t="s">
        <v>13</v>
      </c>
      <c r="B13" s="2" t="s">
        <v>34</v>
      </c>
      <c r="C13" s="5" t="n">
        <v>36646</v>
      </c>
      <c r="D13" s="5" t="n">
        <v>274699043.99</v>
      </c>
      <c r="E13" s="7" t="n">
        <f aca="false">IF(C13=0,0,D13/C13)</f>
        <v>7496.01713665885</v>
      </c>
      <c r="F13" s="8" t="n">
        <f aca="false">INDEX(Assumptions!$B$4:$B$8,MATCH(A13,Assumptions!$A$4:$A$8,0))*Assumptions!$B$10</f>
        <v>0.015</v>
      </c>
      <c r="G13" s="7" t="n">
        <f aca="false">INDEX(Assumptions!$D$4:$D$8,MATCH(A13,Assumptions!$A$4:$A$8,0))</f>
        <v>5000</v>
      </c>
      <c r="H13" s="7" t="n">
        <f aca="false">C13*MIN(E13*F13,G13)</f>
        <v>4120485.65985</v>
      </c>
      <c r="I13" s="7" t="n">
        <f aca="false">IF(INDEX(Assumptions!$B$4:$B$8,MATCH(A13,Assumptions!$A$4:$A$8,0))=0,0,H13*INDEX(Assumptions!$C$4:$C$8,MATCH(A13,Assumptions!$A$4:$A$8,0))/INDEX(Assumptions!$B$4:$B$8,MATCH(A13,Assumptions!$A$4:$A$8,0)))</f>
        <v>2472291.39591</v>
      </c>
      <c r="J13" s="7" t="n">
        <f aca="false">H13-I13</f>
        <v>1648194.26394</v>
      </c>
    </row>
    <row r="14" customFormat="false" ht="15" hidden="false" customHeight="false" outlineLevel="0" collapsed="false">
      <c r="A14" s="2" t="s">
        <v>13</v>
      </c>
      <c r="B14" s="2" t="s">
        <v>35</v>
      </c>
      <c r="C14" s="5" t="n">
        <v>307014</v>
      </c>
      <c r="D14" s="5" t="n">
        <v>9277908444.98</v>
      </c>
      <c r="E14" s="7" t="n">
        <f aca="false">IF(C14=0,0,D14/C14)</f>
        <v>30219.8220438807</v>
      </c>
      <c r="F14" s="8" t="n">
        <f aca="false">INDEX(Assumptions!$B$4:$B$8,MATCH(A14,Assumptions!$A$4:$A$8,0))*Assumptions!$B$10</f>
        <v>0.015</v>
      </c>
      <c r="G14" s="7" t="n">
        <f aca="false">INDEX(Assumptions!$D$4:$D$8,MATCH(A14,Assumptions!$A$4:$A$8,0))</f>
        <v>5000</v>
      </c>
      <c r="H14" s="7" t="n">
        <f aca="false">C14*MIN(E14*F14,G14)</f>
        <v>139168626.6747</v>
      </c>
      <c r="I14" s="7" t="n">
        <f aca="false">IF(INDEX(Assumptions!$B$4:$B$8,MATCH(A14,Assumptions!$A$4:$A$8,0))=0,0,H14*INDEX(Assumptions!$C$4:$C$8,MATCH(A14,Assumptions!$A$4:$A$8,0))/INDEX(Assumptions!$B$4:$B$8,MATCH(A14,Assumptions!$A$4:$A$8,0)))</f>
        <v>83501176.00482</v>
      </c>
      <c r="J14" s="7" t="n">
        <f aca="false">H14-I14</f>
        <v>55667450.66988</v>
      </c>
    </row>
    <row r="15" customFormat="false" ht="15" hidden="false" customHeight="false" outlineLevel="0" collapsed="false">
      <c r="A15" s="2" t="s">
        <v>13</v>
      </c>
      <c r="B15" s="2" t="s">
        <v>36</v>
      </c>
      <c r="C15" s="5" t="n">
        <v>393576</v>
      </c>
      <c r="D15" s="5" t="n">
        <v>29482853501.53</v>
      </c>
      <c r="E15" s="7" t="n">
        <f aca="false">IF(C15=0,0,D15/C15)</f>
        <v>74910.1914281613</v>
      </c>
      <c r="F15" s="8" t="n">
        <f aca="false">INDEX(Assumptions!$B$4:$B$8,MATCH(A15,Assumptions!$A$4:$A$8,0))*Assumptions!$B$10</f>
        <v>0.015</v>
      </c>
      <c r="G15" s="7" t="n">
        <f aca="false">INDEX(Assumptions!$D$4:$D$8,MATCH(A15,Assumptions!$A$4:$A$8,0))</f>
        <v>5000</v>
      </c>
      <c r="H15" s="7" t="n">
        <f aca="false">C15*MIN(E15*F15,G15)</f>
        <v>442242802.52295</v>
      </c>
      <c r="I15" s="7" t="n">
        <f aca="false">IF(INDEX(Assumptions!$B$4:$B$8,MATCH(A15,Assumptions!$A$4:$A$8,0))=0,0,H15*INDEX(Assumptions!$C$4:$C$8,MATCH(A15,Assumptions!$A$4:$A$8,0))/INDEX(Assumptions!$B$4:$B$8,MATCH(A15,Assumptions!$A$4:$A$8,0)))</f>
        <v>265345681.51377</v>
      </c>
      <c r="J15" s="7" t="n">
        <f aca="false">H15-I15</f>
        <v>176897121.00918</v>
      </c>
    </row>
    <row r="16" customFormat="false" ht="15" hidden="false" customHeight="false" outlineLevel="0" collapsed="false">
      <c r="A16" s="2" t="s">
        <v>13</v>
      </c>
      <c r="B16" s="2" t="s">
        <v>37</v>
      </c>
      <c r="C16" s="5" t="n">
        <v>917877</v>
      </c>
      <c r="D16" s="5" t="n">
        <v>153843089609.25</v>
      </c>
      <c r="E16" s="7" t="n">
        <f aca="false">IF(C16=0,0,D16/C16)</f>
        <v>167607.522150844</v>
      </c>
      <c r="F16" s="8" t="n">
        <f aca="false">INDEX(Assumptions!$B$4:$B$8,MATCH(A16,Assumptions!$A$4:$A$8,0))*Assumptions!$B$10</f>
        <v>0.015</v>
      </c>
      <c r="G16" s="7" t="n">
        <f aca="false">INDEX(Assumptions!$D$4:$D$8,MATCH(A16,Assumptions!$A$4:$A$8,0))</f>
        <v>5000</v>
      </c>
      <c r="H16" s="7" t="n">
        <f aca="false">C16*MIN(E16*F16,G16)</f>
        <v>2307646344.13875</v>
      </c>
      <c r="I16" s="7" t="n">
        <f aca="false">IF(INDEX(Assumptions!$B$4:$B$8,MATCH(A16,Assumptions!$A$4:$A$8,0))=0,0,H16*INDEX(Assumptions!$C$4:$C$8,MATCH(A16,Assumptions!$A$4:$A$8,0))/INDEX(Assumptions!$B$4:$B$8,MATCH(A16,Assumptions!$A$4:$A$8,0)))</f>
        <v>1384587806.48325</v>
      </c>
      <c r="J16" s="7" t="n">
        <f aca="false">H16-I16</f>
        <v>923058537.6555</v>
      </c>
    </row>
    <row r="17" customFormat="false" ht="15" hidden="false" customHeight="false" outlineLevel="0" collapsed="false">
      <c r="A17" s="2" t="s">
        <v>13</v>
      </c>
      <c r="B17" s="2" t="s">
        <v>38</v>
      </c>
      <c r="C17" s="5" t="n">
        <v>490994</v>
      </c>
      <c r="D17" s="5" t="n">
        <v>165301458447.61</v>
      </c>
      <c r="E17" s="7" t="n">
        <f aca="false">IF(C17=0,0,D17/C17)</f>
        <v>336666.962218703</v>
      </c>
      <c r="F17" s="8" t="n">
        <f aca="false">INDEX(Assumptions!$B$4:$B$8,MATCH(A17,Assumptions!$A$4:$A$8,0))*Assumptions!$B$10</f>
        <v>0.015</v>
      </c>
      <c r="G17" s="7" t="n">
        <f aca="false">INDEX(Assumptions!$D$4:$D$8,MATCH(A17,Assumptions!$A$4:$A$8,0))</f>
        <v>5000</v>
      </c>
      <c r="H17" s="7" t="n">
        <f aca="false">C17*MIN(E17*F17,G17)</f>
        <v>2454970000</v>
      </c>
      <c r="I17" s="7" t="n">
        <f aca="false">IF(INDEX(Assumptions!$B$4:$B$8,MATCH(A17,Assumptions!$A$4:$A$8,0))=0,0,H17*INDEX(Assumptions!$C$4:$C$8,MATCH(A17,Assumptions!$A$4:$A$8,0))/INDEX(Assumptions!$B$4:$B$8,MATCH(A17,Assumptions!$A$4:$A$8,0)))</f>
        <v>1472982000</v>
      </c>
      <c r="J17" s="7" t="n">
        <f aca="false">H17-I17</f>
        <v>981988000</v>
      </c>
    </row>
    <row r="18" customFormat="false" ht="15" hidden="false" customHeight="false" outlineLevel="0" collapsed="false">
      <c r="A18" s="2" t="s">
        <v>13</v>
      </c>
      <c r="B18" s="2" t="s">
        <v>40</v>
      </c>
      <c r="C18" s="5" t="n">
        <v>51006</v>
      </c>
      <c r="D18" s="5" t="n">
        <v>29745104355.92</v>
      </c>
      <c r="E18" s="7" t="n">
        <f aca="false">IF(C18=0,0,D18/C18)</f>
        <v>583168.732226013</v>
      </c>
      <c r="F18" s="8" t="n">
        <f aca="false">INDEX(Assumptions!$B$4:$B$8,MATCH(A18,Assumptions!$A$4:$A$8,0))*Assumptions!$B$10</f>
        <v>0.015</v>
      </c>
      <c r="G18" s="7" t="n">
        <f aca="false">INDEX(Assumptions!$D$4:$D$8,MATCH(A18,Assumptions!$A$4:$A$8,0))</f>
        <v>5000</v>
      </c>
      <c r="H18" s="7" t="n">
        <f aca="false">C18*MIN(E18*F18,G18)</f>
        <v>255030000</v>
      </c>
      <c r="I18" s="7" t="n">
        <f aca="false">IF(INDEX(Assumptions!$B$4:$B$8,MATCH(A18,Assumptions!$A$4:$A$8,0))=0,0,H18*INDEX(Assumptions!$C$4:$C$8,MATCH(A18,Assumptions!$A$4:$A$8,0))/INDEX(Assumptions!$B$4:$B$8,MATCH(A18,Assumptions!$A$4:$A$8,0)))</f>
        <v>153018000</v>
      </c>
      <c r="J18" s="7" t="n">
        <f aca="false">H18-I18</f>
        <v>102012000</v>
      </c>
    </row>
    <row r="19" customFormat="false" ht="15" hidden="false" customHeight="false" outlineLevel="0" collapsed="false">
      <c r="A19" s="2" t="s">
        <v>13</v>
      </c>
      <c r="B19" s="2" t="s">
        <v>41</v>
      </c>
      <c r="C19" s="5" t="n">
        <v>303</v>
      </c>
      <c r="D19" s="5" t="n">
        <v>408739770.47</v>
      </c>
      <c r="E19" s="7" t="n">
        <f aca="false">IF(C19=0,0,D19/C19)</f>
        <v>1348976.14016502</v>
      </c>
      <c r="F19" s="8" t="n">
        <f aca="false">INDEX(Assumptions!$B$4:$B$8,MATCH(A19,Assumptions!$A$4:$A$8,0))*Assumptions!$B$10</f>
        <v>0.015</v>
      </c>
      <c r="G19" s="7" t="n">
        <f aca="false">INDEX(Assumptions!$D$4:$D$8,MATCH(A19,Assumptions!$A$4:$A$8,0))</f>
        <v>5000</v>
      </c>
      <c r="H19" s="7" t="n">
        <f aca="false">C19*MIN(E19*F19,G19)</f>
        <v>1515000</v>
      </c>
      <c r="I19" s="7" t="n">
        <f aca="false">IF(INDEX(Assumptions!$B$4:$B$8,MATCH(A19,Assumptions!$A$4:$A$8,0))=0,0,H19*INDEX(Assumptions!$C$4:$C$8,MATCH(A19,Assumptions!$A$4:$A$8,0))/INDEX(Assumptions!$B$4:$B$8,MATCH(A19,Assumptions!$A$4:$A$8,0)))</f>
        <v>909000</v>
      </c>
      <c r="J19" s="7" t="n">
        <f aca="false">H19-I19</f>
        <v>606000</v>
      </c>
    </row>
    <row r="20" customFormat="false" ht="15" hidden="false" customHeight="false" outlineLevel="0" collapsed="false">
      <c r="A20" s="2" t="s">
        <v>16</v>
      </c>
      <c r="B20" s="2" t="s">
        <v>29</v>
      </c>
      <c r="C20" s="5" t="n">
        <v>6785</v>
      </c>
      <c r="D20" s="5" t="n">
        <v>3491556.11</v>
      </c>
      <c r="E20" s="7" t="n">
        <f aca="false">IF(C20=0,0,D20/C20)</f>
        <v>514.599279292557</v>
      </c>
      <c r="F20" s="8" t="n">
        <f aca="false">INDEX(Assumptions!$B$4:$B$8,MATCH(A20,Assumptions!$A$4:$A$8,0))*Assumptions!$B$10</f>
        <v>0.005</v>
      </c>
      <c r="G20" s="7" t="n">
        <f aca="false">INDEX(Assumptions!$D$4:$D$8,MATCH(A20,Assumptions!$A$4:$A$8,0))</f>
        <v>5000</v>
      </c>
      <c r="H20" s="7" t="n">
        <f aca="false">C20*MIN(E20*F20,G20)</f>
        <v>17457.78055</v>
      </c>
      <c r="I20" s="7" t="n">
        <f aca="false">IF(INDEX(Assumptions!$B$4:$B$8,MATCH(A20,Assumptions!$A$4:$A$8,0))=0,0,H20*INDEX(Assumptions!$C$4:$C$8,MATCH(A20,Assumptions!$A$4:$A$8,0))/INDEX(Assumptions!$B$4:$B$8,MATCH(A20,Assumptions!$A$4:$A$8,0)))</f>
        <v>6983.11222</v>
      </c>
      <c r="J20" s="7" t="n">
        <f aca="false">H20-I20</f>
        <v>10474.66833</v>
      </c>
    </row>
    <row r="21" customFormat="false" ht="15" hidden="false" customHeight="false" outlineLevel="0" collapsed="false">
      <c r="A21" s="2" t="s">
        <v>16</v>
      </c>
      <c r="B21" s="2" t="s">
        <v>33</v>
      </c>
      <c r="C21" s="5" t="n">
        <v>22798</v>
      </c>
      <c r="D21" s="5" t="n">
        <v>62658585.17</v>
      </c>
      <c r="E21" s="7" t="n">
        <f aca="false">IF(C21=0,0,D21/C21)</f>
        <v>2748.4246499693</v>
      </c>
      <c r="F21" s="8" t="n">
        <f aca="false">INDEX(Assumptions!$B$4:$B$8,MATCH(A21,Assumptions!$A$4:$A$8,0))*Assumptions!$B$10</f>
        <v>0.005</v>
      </c>
      <c r="G21" s="7" t="n">
        <f aca="false">INDEX(Assumptions!$D$4:$D$8,MATCH(A21,Assumptions!$A$4:$A$8,0))</f>
        <v>5000</v>
      </c>
      <c r="H21" s="7" t="n">
        <f aca="false">C21*MIN(E21*F21,G21)</f>
        <v>313292.92585</v>
      </c>
      <c r="I21" s="7" t="n">
        <f aca="false">IF(INDEX(Assumptions!$B$4:$B$8,MATCH(A21,Assumptions!$A$4:$A$8,0))=0,0,H21*INDEX(Assumptions!$C$4:$C$8,MATCH(A21,Assumptions!$A$4:$A$8,0))/INDEX(Assumptions!$B$4:$B$8,MATCH(A21,Assumptions!$A$4:$A$8,0)))</f>
        <v>125317.17034</v>
      </c>
      <c r="J21" s="7" t="n">
        <f aca="false">H21-I21</f>
        <v>187975.75551</v>
      </c>
    </row>
    <row r="22" customFormat="false" ht="15" hidden="false" customHeight="false" outlineLevel="0" collapsed="false">
      <c r="A22" s="2" t="s">
        <v>16</v>
      </c>
      <c r="B22" s="2" t="s">
        <v>34</v>
      </c>
      <c r="C22" s="5" t="n">
        <v>8065</v>
      </c>
      <c r="D22" s="5" t="n">
        <v>54967583.98</v>
      </c>
      <c r="E22" s="7" t="n">
        <f aca="false">IF(C22=0,0,D22/C22)</f>
        <v>6815.57147923125</v>
      </c>
      <c r="F22" s="8" t="n">
        <f aca="false">INDEX(Assumptions!$B$4:$B$8,MATCH(A22,Assumptions!$A$4:$A$8,0))*Assumptions!$B$10</f>
        <v>0.005</v>
      </c>
      <c r="G22" s="7" t="n">
        <f aca="false">INDEX(Assumptions!$D$4:$D$8,MATCH(A22,Assumptions!$A$4:$A$8,0))</f>
        <v>5000</v>
      </c>
      <c r="H22" s="7" t="n">
        <f aca="false">C22*MIN(E22*F22,G22)</f>
        <v>274837.9199</v>
      </c>
      <c r="I22" s="7" t="n">
        <f aca="false">IF(INDEX(Assumptions!$B$4:$B$8,MATCH(A22,Assumptions!$A$4:$A$8,0))=0,0,H22*INDEX(Assumptions!$C$4:$C$8,MATCH(A22,Assumptions!$A$4:$A$8,0))/INDEX(Assumptions!$B$4:$B$8,MATCH(A22,Assumptions!$A$4:$A$8,0)))</f>
        <v>109935.16796</v>
      </c>
      <c r="J22" s="7" t="n">
        <f aca="false">H22-I22</f>
        <v>164902.75194</v>
      </c>
    </row>
    <row r="23" customFormat="false" ht="15" hidden="false" customHeight="false" outlineLevel="0" collapsed="false">
      <c r="A23" s="2" t="s">
        <v>16</v>
      </c>
      <c r="B23" s="2" t="s">
        <v>35</v>
      </c>
      <c r="C23" s="5" t="n">
        <v>3358</v>
      </c>
      <c r="D23" s="5" t="n">
        <v>61767556.16</v>
      </c>
      <c r="E23" s="7" t="n">
        <f aca="false">IF(C23=0,0,D23/C23)</f>
        <v>18394.1501369863</v>
      </c>
      <c r="F23" s="8" t="n">
        <f aca="false">INDEX(Assumptions!$B$4:$B$8,MATCH(A23,Assumptions!$A$4:$A$8,0))*Assumptions!$B$10</f>
        <v>0.005</v>
      </c>
      <c r="G23" s="7" t="n">
        <f aca="false">INDEX(Assumptions!$D$4:$D$8,MATCH(A23,Assumptions!$A$4:$A$8,0))</f>
        <v>5000</v>
      </c>
      <c r="H23" s="7" t="n">
        <f aca="false">C23*MIN(E23*F23,G23)</f>
        <v>308837.7808</v>
      </c>
      <c r="I23" s="7" t="n">
        <f aca="false">IF(INDEX(Assumptions!$B$4:$B$8,MATCH(A23,Assumptions!$A$4:$A$8,0))=0,0,H23*INDEX(Assumptions!$C$4:$C$8,MATCH(A23,Assumptions!$A$4:$A$8,0))/INDEX(Assumptions!$B$4:$B$8,MATCH(A23,Assumptions!$A$4:$A$8,0)))</f>
        <v>123535.11232</v>
      </c>
      <c r="J23" s="7" t="n">
        <f aca="false">H23-I23</f>
        <v>185302.66848</v>
      </c>
    </row>
    <row r="24" customFormat="false" ht="15" hidden="false" customHeight="false" outlineLevel="0" collapsed="false">
      <c r="A24" s="2" t="s">
        <v>16</v>
      </c>
      <c r="B24" s="2" t="s">
        <v>36</v>
      </c>
      <c r="C24" s="5" t="n">
        <v>273</v>
      </c>
      <c r="D24" s="5" t="n">
        <v>18817464</v>
      </c>
      <c r="E24" s="7" t="n">
        <f aca="false">IF(C24=0,0,D24/C24)</f>
        <v>68928.4395604396</v>
      </c>
      <c r="F24" s="8" t="n">
        <f aca="false">INDEX(Assumptions!$B$4:$B$8,MATCH(A24,Assumptions!$A$4:$A$8,0))*Assumptions!$B$10</f>
        <v>0.005</v>
      </c>
      <c r="G24" s="7" t="n">
        <f aca="false">INDEX(Assumptions!$D$4:$D$8,MATCH(A24,Assumptions!$A$4:$A$8,0))</f>
        <v>5000</v>
      </c>
      <c r="H24" s="7" t="n">
        <f aca="false">C24*MIN(E24*F24,G24)</f>
        <v>94087.32</v>
      </c>
      <c r="I24" s="7" t="n">
        <f aca="false">IF(INDEX(Assumptions!$B$4:$B$8,MATCH(A24,Assumptions!$A$4:$A$8,0))=0,0,H24*INDEX(Assumptions!$C$4:$C$8,MATCH(A24,Assumptions!$A$4:$A$8,0))/INDEX(Assumptions!$B$4:$B$8,MATCH(A24,Assumptions!$A$4:$A$8,0)))</f>
        <v>37634.928</v>
      </c>
      <c r="J24" s="7" t="n">
        <f aca="false">H24-I24</f>
        <v>56452.392</v>
      </c>
    </row>
    <row r="25" customFormat="false" ht="15" hidden="false" customHeight="false" outlineLevel="0" collapsed="false">
      <c r="A25" s="2" t="s">
        <v>16</v>
      </c>
      <c r="B25" s="2" t="s">
        <v>37</v>
      </c>
      <c r="C25" s="5" t="n">
        <v>139</v>
      </c>
      <c r="D25" s="5" t="n">
        <v>20203196.65</v>
      </c>
      <c r="E25" s="7" t="n">
        <f aca="false">IF(C25=0,0,D25/C25)</f>
        <v>145346.738489209</v>
      </c>
      <c r="F25" s="8" t="n">
        <f aca="false">INDEX(Assumptions!$B$4:$B$8,MATCH(A25,Assumptions!$A$4:$A$8,0))*Assumptions!$B$10</f>
        <v>0.005</v>
      </c>
      <c r="G25" s="7" t="n">
        <f aca="false">INDEX(Assumptions!$D$4:$D$8,MATCH(A25,Assumptions!$A$4:$A$8,0))</f>
        <v>5000</v>
      </c>
      <c r="H25" s="7" t="n">
        <f aca="false">C25*MIN(E25*F25,G25)</f>
        <v>101015.98325</v>
      </c>
      <c r="I25" s="7" t="n">
        <f aca="false">IF(INDEX(Assumptions!$B$4:$B$8,MATCH(A25,Assumptions!$A$4:$A$8,0))=0,0,H25*INDEX(Assumptions!$C$4:$C$8,MATCH(A25,Assumptions!$A$4:$A$8,0))/INDEX(Assumptions!$B$4:$B$8,MATCH(A25,Assumptions!$A$4:$A$8,0)))</f>
        <v>40406.3933</v>
      </c>
      <c r="J25" s="7" t="n">
        <f aca="false">H25-I25</f>
        <v>60609.58995</v>
      </c>
    </row>
    <row r="26" customFormat="false" ht="15" hidden="false" customHeight="false" outlineLevel="0" collapsed="false">
      <c r="A26" s="2" t="s">
        <v>16</v>
      </c>
      <c r="B26" s="2" t="s">
        <v>38</v>
      </c>
      <c r="C26" s="5" t="n">
        <v>12</v>
      </c>
      <c r="D26" s="5" t="n">
        <v>4177061.91</v>
      </c>
      <c r="E26" s="7" t="n">
        <f aca="false">IF(C26=0,0,D26/C26)</f>
        <v>348088.4925</v>
      </c>
      <c r="F26" s="8" t="n">
        <f aca="false">INDEX(Assumptions!$B$4:$B$8,MATCH(A26,Assumptions!$A$4:$A$8,0))*Assumptions!$B$10</f>
        <v>0.005</v>
      </c>
      <c r="G26" s="7" t="n">
        <f aca="false">INDEX(Assumptions!$D$4:$D$8,MATCH(A26,Assumptions!$A$4:$A$8,0))</f>
        <v>5000</v>
      </c>
      <c r="H26" s="7" t="n">
        <f aca="false">C26*MIN(E26*F26,G26)</f>
        <v>20885.30955</v>
      </c>
      <c r="I26" s="7" t="n">
        <f aca="false">IF(INDEX(Assumptions!$B$4:$B$8,MATCH(A26,Assumptions!$A$4:$A$8,0))=0,0,H26*INDEX(Assumptions!$C$4:$C$8,MATCH(A26,Assumptions!$A$4:$A$8,0))/INDEX(Assumptions!$B$4:$B$8,MATCH(A26,Assumptions!$A$4:$A$8,0)))</f>
        <v>8354.12382</v>
      </c>
      <c r="J26" s="7" t="n">
        <f aca="false">H26-I26</f>
        <v>12531.18573</v>
      </c>
    </row>
    <row r="27" customFormat="false" ht="15" hidden="false" customHeight="false" outlineLevel="0" collapsed="false">
      <c r="A27" s="2" t="s">
        <v>16</v>
      </c>
      <c r="B27" s="2" t="s">
        <v>40</v>
      </c>
      <c r="C27" s="5" t="n">
        <v>2</v>
      </c>
      <c r="D27" s="5" t="n">
        <v>1116217.3</v>
      </c>
      <c r="E27" s="7" t="n">
        <f aca="false">IF(C27=0,0,D27/C27)</f>
        <v>558108.65</v>
      </c>
      <c r="F27" s="8" t="n">
        <f aca="false">INDEX(Assumptions!$B$4:$B$8,MATCH(A27,Assumptions!$A$4:$A$8,0))*Assumptions!$B$10</f>
        <v>0.005</v>
      </c>
      <c r="G27" s="7" t="n">
        <f aca="false">INDEX(Assumptions!$D$4:$D$8,MATCH(A27,Assumptions!$A$4:$A$8,0))</f>
        <v>5000</v>
      </c>
      <c r="H27" s="7" t="n">
        <f aca="false">C27*MIN(E27*F27,G27)</f>
        <v>5581.0865</v>
      </c>
      <c r="I27" s="7" t="n">
        <f aca="false">IF(INDEX(Assumptions!$B$4:$B$8,MATCH(A27,Assumptions!$A$4:$A$8,0))=0,0,H27*INDEX(Assumptions!$C$4:$C$8,MATCH(A27,Assumptions!$A$4:$A$8,0))/INDEX(Assumptions!$B$4:$B$8,MATCH(A27,Assumptions!$A$4:$A$8,0)))</f>
        <v>2232.4346</v>
      </c>
      <c r="J27" s="7" t="n">
        <f aca="false">H27-I27</f>
        <v>3348.6519</v>
      </c>
    </row>
    <row r="28" customFormat="false" ht="15" hidden="false" customHeight="false" outlineLevel="0" collapsed="false">
      <c r="A28" s="2" t="s">
        <v>15</v>
      </c>
      <c r="B28" s="2" t="s">
        <v>29</v>
      </c>
      <c r="C28" s="5" t="n">
        <v>123427</v>
      </c>
      <c r="D28" s="5" t="n">
        <v>61882870.09</v>
      </c>
      <c r="E28" s="7" t="n">
        <f aca="false">IF(C28=0,0,D28/C28)</f>
        <v>501.372228847821</v>
      </c>
      <c r="F28" s="8" t="n">
        <f aca="false">INDEX(Assumptions!$B$4:$B$8,MATCH(A28,Assumptions!$A$4:$A$8,0))*Assumptions!$B$10</f>
        <v>0.01</v>
      </c>
      <c r="G28" s="7" t="n">
        <f aca="false">INDEX(Assumptions!$D$4:$D$8,MATCH(A28,Assumptions!$A$4:$A$8,0))</f>
        <v>5000</v>
      </c>
      <c r="H28" s="7" t="n">
        <f aca="false">C28*MIN(E28*F28,G28)</f>
        <v>618828.7009</v>
      </c>
      <c r="I28" s="7" t="n">
        <f aca="false">IF(INDEX(Assumptions!$B$4:$B$8,MATCH(A28,Assumptions!$A$4:$A$8,0))=0,0,H28*INDEX(Assumptions!$C$4:$C$8,MATCH(A28,Assumptions!$A$4:$A$8,0))/INDEX(Assumptions!$B$4:$B$8,MATCH(A28,Assumptions!$A$4:$A$8,0)))</f>
        <v>247531.48036</v>
      </c>
      <c r="J28" s="7" t="n">
        <f aca="false">H28-I28</f>
        <v>371297.22054</v>
      </c>
    </row>
    <row r="29" customFormat="false" ht="15" hidden="false" customHeight="false" outlineLevel="0" collapsed="false">
      <c r="A29" s="2" t="s">
        <v>15</v>
      </c>
      <c r="B29" s="2" t="s">
        <v>33</v>
      </c>
      <c r="C29" s="5" t="n">
        <v>486752</v>
      </c>
      <c r="D29" s="5" t="n">
        <v>1449962640.27</v>
      </c>
      <c r="E29" s="7" t="n">
        <f aca="false">IF(C29=0,0,D29/C29)</f>
        <v>2978.85296880136</v>
      </c>
      <c r="F29" s="8" t="n">
        <f aca="false">INDEX(Assumptions!$B$4:$B$8,MATCH(A29,Assumptions!$A$4:$A$8,0))*Assumptions!$B$10</f>
        <v>0.01</v>
      </c>
      <c r="G29" s="7" t="n">
        <f aca="false">INDEX(Assumptions!$D$4:$D$8,MATCH(A29,Assumptions!$A$4:$A$8,0))</f>
        <v>5000</v>
      </c>
      <c r="H29" s="7" t="n">
        <f aca="false">C29*MIN(E29*F29,G29)</f>
        <v>14499626.4027</v>
      </c>
      <c r="I29" s="7" t="n">
        <f aca="false">IF(INDEX(Assumptions!$B$4:$B$8,MATCH(A29,Assumptions!$A$4:$A$8,0))=0,0,H29*INDEX(Assumptions!$C$4:$C$8,MATCH(A29,Assumptions!$A$4:$A$8,0))/INDEX(Assumptions!$B$4:$B$8,MATCH(A29,Assumptions!$A$4:$A$8,0)))</f>
        <v>5799850.56108</v>
      </c>
      <c r="J29" s="7" t="n">
        <f aca="false">H29-I29</f>
        <v>8699775.84162</v>
      </c>
    </row>
    <row r="30" customFormat="false" ht="15" hidden="false" customHeight="false" outlineLevel="0" collapsed="false">
      <c r="A30" s="2" t="s">
        <v>15</v>
      </c>
      <c r="B30" s="2" t="s">
        <v>34</v>
      </c>
      <c r="C30" s="5" t="n">
        <v>511727</v>
      </c>
      <c r="D30" s="5" t="n">
        <v>3777455330.47</v>
      </c>
      <c r="E30" s="7" t="n">
        <f aca="false">IF(C30=0,0,D30/C30)</f>
        <v>7381.77842965097</v>
      </c>
      <c r="F30" s="8" t="n">
        <f aca="false">INDEX(Assumptions!$B$4:$B$8,MATCH(A30,Assumptions!$A$4:$A$8,0))*Assumptions!$B$10</f>
        <v>0.01</v>
      </c>
      <c r="G30" s="7" t="n">
        <f aca="false">INDEX(Assumptions!$D$4:$D$8,MATCH(A30,Assumptions!$A$4:$A$8,0))</f>
        <v>5000</v>
      </c>
      <c r="H30" s="7" t="n">
        <f aca="false">C30*MIN(E30*F30,G30)</f>
        <v>37774553.3047</v>
      </c>
      <c r="I30" s="7" t="n">
        <f aca="false">IF(INDEX(Assumptions!$B$4:$B$8,MATCH(A30,Assumptions!$A$4:$A$8,0))=0,0,H30*INDEX(Assumptions!$C$4:$C$8,MATCH(A30,Assumptions!$A$4:$A$8,0))/INDEX(Assumptions!$B$4:$B$8,MATCH(A30,Assumptions!$A$4:$A$8,0)))</f>
        <v>15109821.32188</v>
      </c>
      <c r="J30" s="7" t="n">
        <f aca="false">H30-I30</f>
        <v>22664731.98282</v>
      </c>
    </row>
    <row r="31" customFormat="false" ht="15" hidden="false" customHeight="false" outlineLevel="0" collapsed="false">
      <c r="A31" s="2" t="s">
        <v>15</v>
      </c>
      <c r="B31" s="2" t="s">
        <v>35</v>
      </c>
      <c r="C31" s="5" t="n">
        <v>986067</v>
      </c>
      <c r="D31" s="5" t="n">
        <v>20044461263.72</v>
      </c>
      <c r="E31" s="7" t="n">
        <f aca="false">IF(C31=0,0,D31/C31)</f>
        <v>20327.6869256552</v>
      </c>
      <c r="F31" s="8" t="n">
        <f aca="false">INDEX(Assumptions!$B$4:$B$8,MATCH(A31,Assumptions!$A$4:$A$8,0))*Assumptions!$B$10</f>
        <v>0.01</v>
      </c>
      <c r="G31" s="7" t="n">
        <f aca="false">INDEX(Assumptions!$D$4:$D$8,MATCH(A31,Assumptions!$A$4:$A$8,0))</f>
        <v>5000</v>
      </c>
      <c r="H31" s="7" t="n">
        <f aca="false">C31*MIN(E31*F31,G31)</f>
        <v>200444612.6372</v>
      </c>
      <c r="I31" s="7" t="n">
        <f aca="false">IF(INDEX(Assumptions!$B$4:$B$8,MATCH(A31,Assumptions!$A$4:$A$8,0))=0,0,H31*INDEX(Assumptions!$C$4:$C$8,MATCH(A31,Assumptions!$A$4:$A$8,0))/INDEX(Assumptions!$B$4:$B$8,MATCH(A31,Assumptions!$A$4:$A$8,0)))</f>
        <v>80177845.05488</v>
      </c>
      <c r="J31" s="7" t="n">
        <f aca="false">H31-I31</f>
        <v>120266767.58232</v>
      </c>
    </row>
    <row r="32" customFormat="false" ht="15" hidden="false" customHeight="false" outlineLevel="0" collapsed="false">
      <c r="A32" s="2" t="s">
        <v>15</v>
      </c>
      <c r="B32" s="2" t="s">
        <v>36</v>
      </c>
      <c r="C32" s="5" t="n">
        <v>42486</v>
      </c>
      <c r="D32" s="5" t="n">
        <v>2639623280.61</v>
      </c>
      <c r="E32" s="7" t="n">
        <f aca="false">IF(C32=0,0,D32/C32)</f>
        <v>62129.2491787883</v>
      </c>
      <c r="F32" s="8" t="n">
        <f aca="false">INDEX(Assumptions!$B$4:$B$8,MATCH(A32,Assumptions!$A$4:$A$8,0))*Assumptions!$B$10</f>
        <v>0.01</v>
      </c>
      <c r="G32" s="7" t="n">
        <f aca="false">INDEX(Assumptions!$D$4:$D$8,MATCH(A32,Assumptions!$A$4:$A$8,0))</f>
        <v>5000</v>
      </c>
      <c r="H32" s="7" t="n">
        <f aca="false">C32*MIN(E32*F32,G32)</f>
        <v>26396232.8061</v>
      </c>
      <c r="I32" s="7" t="n">
        <f aca="false">IF(INDEX(Assumptions!$B$4:$B$8,MATCH(A32,Assumptions!$A$4:$A$8,0))=0,0,H32*INDEX(Assumptions!$C$4:$C$8,MATCH(A32,Assumptions!$A$4:$A$8,0))/INDEX(Assumptions!$B$4:$B$8,MATCH(A32,Assumptions!$A$4:$A$8,0)))</f>
        <v>10558493.12244</v>
      </c>
      <c r="J32" s="7" t="n">
        <f aca="false">H32-I32</f>
        <v>15837739.68366</v>
      </c>
    </row>
    <row r="33" customFormat="false" ht="15" hidden="false" customHeight="false" outlineLevel="0" collapsed="false">
      <c r="A33" s="2" t="s">
        <v>15</v>
      </c>
      <c r="B33" s="2" t="s">
        <v>37</v>
      </c>
      <c r="C33" s="5" t="n">
        <v>1036</v>
      </c>
      <c r="D33" s="5" t="n">
        <v>119985753.21</v>
      </c>
      <c r="E33" s="7" t="n">
        <f aca="false">IF(C33=0,0,D33/C33)</f>
        <v>115816.364102317</v>
      </c>
      <c r="F33" s="8" t="n">
        <f aca="false">INDEX(Assumptions!$B$4:$B$8,MATCH(A33,Assumptions!$A$4:$A$8,0))*Assumptions!$B$10</f>
        <v>0.01</v>
      </c>
      <c r="G33" s="7" t="n">
        <f aca="false">INDEX(Assumptions!$D$4:$D$8,MATCH(A33,Assumptions!$A$4:$A$8,0))</f>
        <v>5000</v>
      </c>
      <c r="H33" s="7" t="n">
        <f aca="false">C33*MIN(E33*F33,G33)</f>
        <v>1199857.5321</v>
      </c>
      <c r="I33" s="7" t="n">
        <f aca="false">IF(INDEX(Assumptions!$B$4:$B$8,MATCH(A33,Assumptions!$A$4:$A$8,0))=0,0,H33*INDEX(Assumptions!$C$4:$C$8,MATCH(A33,Assumptions!$A$4:$A$8,0))/INDEX(Assumptions!$B$4:$B$8,MATCH(A33,Assumptions!$A$4:$A$8,0)))</f>
        <v>479943.01284</v>
      </c>
      <c r="J33" s="7" t="n">
        <f aca="false">H33-I33</f>
        <v>719914.51926</v>
      </c>
    </row>
    <row r="34" customFormat="false" ht="15" hidden="false" customHeight="false" outlineLevel="0" collapsed="false">
      <c r="A34" s="2" t="s">
        <v>14</v>
      </c>
      <c r="B34" s="2" t="s">
        <v>29</v>
      </c>
      <c r="C34" s="5" t="n">
        <v>556</v>
      </c>
      <c r="D34" s="5" t="n">
        <v>283974.6</v>
      </c>
      <c r="E34" s="7" t="n">
        <f aca="false">IF(C34=0,0,D34/C34)</f>
        <v>510.745683453237</v>
      </c>
      <c r="F34" s="8" t="n">
        <f aca="false">INDEX(Assumptions!$B$4:$B$8,MATCH(A34,Assumptions!$A$4:$A$8,0))*Assumptions!$B$10</f>
        <v>0.005</v>
      </c>
      <c r="G34" s="7" t="n">
        <f aca="false">INDEX(Assumptions!$D$4:$D$8,MATCH(A34,Assumptions!$A$4:$A$8,0))</f>
        <v>5000</v>
      </c>
      <c r="H34" s="7" t="n">
        <f aca="false">C34*MIN(E34*F34,G34)</f>
        <v>1419.873</v>
      </c>
      <c r="I34" s="7" t="n">
        <f aca="false">IF(INDEX(Assumptions!$B$4:$B$8,MATCH(A34,Assumptions!$A$4:$A$8,0))=0,0,H34*INDEX(Assumptions!$C$4:$C$8,MATCH(A34,Assumptions!$A$4:$A$8,0))/INDEX(Assumptions!$B$4:$B$8,MATCH(A34,Assumptions!$A$4:$A$8,0)))</f>
        <v>283.9746</v>
      </c>
      <c r="J34" s="7" t="n">
        <f aca="false">H34-I34</f>
        <v>1135.8984</v>
      </c>
    </row>
    <row r="35" customFormat="false" ht="15" hidden="false" customHeight="false" outlineLevel="0" collapsed="false">
      <c r="A35" s="2" t="s">
        <v>14</v>
      </c>
      <c r="B35" s="2" t="s">
        <v>33</v>
      </c>
      <c r="C35" s="5" t="n">
        <v>2379</v>
      </c>
      <c r="D35" s="5" t="n">
        <v>7079401.24</v>
      </c>
      <c r="E35" s="7" t="n">
        <f aca="false">IF(C35=0,0,D35/C35)</f>
        <v>2975.78866750736</v>
      </c>
      <c r="F35" s="8" t="n">
        <f aca="false">INDEX(Assumptions!$B$4:$B$8,MATCH(A35,Assumptions!$A$4:$A$8,0))*Assumptions!$B$10</f>
        <v>0.005</v>
      </c>
      <c r="G35" s="7" t="n">
        <f aca="false">INDEX(Assumptions!$D$4:$D$8,MATCH(A35,Assumptions!$A$4:$A$8,0))</f>
        <v>5000</v>
      </c>
      <c r="H35" s="7" t="n">
        <f aca="false">C35*MIN(E35*F35,G35)</f>
        <v>35397.0062</v>
      </c>
      <c r="I35" s="7" t="n">
        <f aca="false">IF(INDEX(Assumptions!$B$4:$B$8,MATCH(A35,Assumptions!$A$4:$A$8,0))=0,0,H35*INDEX(Assumptions!$C$4:$C$8,MATCH(A35,Assumptions!$A$4:$A$8,0))/INDEX(Assumptions!$B$4:$B$8,MATCH(A35,Assumptions!$A$4:$A$8,0)))</f>
        <v>7079.40124</v>
      </c>
      <c r="J35" s="7" t="n">
        <f aca="false">H35-I35</f>
        <v>28317.60496</v>
      </c>
    </row>
    <row r="36" customFormat="false" ht="15" hidden="false" customHeight="false" outlineLevel="0" collapsed="false">
      <c r="A36" s="2" t="s">
        <v>14</v>
      </c>
      <c r="B36" s="2" t="s">
        <v>34</v>
      </c>
      <c r="C36" s="5" t="n">
        <v>3018</v>
      </c>
      <c r="D36" s="5" t="n">
        <v>22674746.99</v>
      </c>
      <c r="E36" s="7" t="n">
        <f aca="false">IF(C36=0,0,D36/C36)</f>
        <v>7513.16997680583</v>
      </c>
      <c r="F36" s="8" t="n">
        <f aca="false">INDEX(Assumptions!$B$4:$B$8,MATCH(A36,Assumptions!$A$4:$A$8,0))*Assumptions!$B$10</f>
        <v>0.005</v>
      </c>
      <c r="G36" s="7" t="n">
        <f aca="false">INDEX(Assumptions!$D$4:$D$8,MATCH(A36,Assumptions!$A$4:$A$8,0))</f>
        <v>5000</v>
      </c>
      <c r="H36" s="7" t="n">
        <f aca="false">C36*MIN(E36*F36,G36)</f>
        <v>113373.73495</v>
      </c>
      <c r="I36" s="7" t="n">
        <f aca="false">IF(INDEX(Assumptions!$B$4:$B$8,MATCH(A36,Assumptions!$A$4:$A$8,0))=0,0,H36*INDEX(Assumptions!$C$4:$C$8,MATCH(A36,Assumptions!$A$4:$A$8,0))/INDEX(Assumptions!$B$4:$B$8,MATCH(A36,Assumptions!$A$4:$A$8,0)))</f>
        <v>22674.74699</v>
      </c>
      <c r="J36" s="7" t="n">
        <f aca="false">H36-I36</f>
        <v>90698.98796</v>
      </c>
    </row>
    <row r="37" customFormat="false" ht="15" hidden="false" customHeight="false" outlineLevel="0" collapsed="false">
      <c r="A37" s="2" t="s">
        <v>14</v>
      </c>
      <c r="B37" s="2" t="s">
        <v>35</v>
      </c>
      <c r="C37" s="5" t="n">
        <v>24394</v>
      </c>
      <c r="D37" s="5" t="n">
        <v>735306838.17</v>
      </c>
      <c r="E37" s="7" t="n">
        <f aca="false">IF(C37=0,0,D37/C37)</f>
        <v>30142.9383524637</v>
      </c>
      <c r="F37" s="8" t="n">
        <f aca="false">INDEX(Assumptions!$B$4:$B$8,MATCH(A37,Assumptions!$A$4:$A$8,0))*Assumptions!$B$10</f>
        <v>0.005</v>
      </c>
      <c r="G37" s="7" t="n">
        <f aca="false">INDEX(Assumptions!$D$4:$D$8,MATCH(A37,Assumptions!$A$4:$A$8,0))</f>
        <v>5000</v>
      </c>
      <c r="H37" s="7" t="n">
        <f aca="false">C37*MIN(E37*F37,G37)</f>
        <v>3676534.19085</v>
      </c>
      <c r="I37" s="7" t="n">
        <f aca="false">IF(INDEX(Assumptions!$B$4:$B$8,MATCH(A37,Assumptions!$A$4:$A$8,0))=0,0,H37*INDEX(Assumptions!$C$4:$C$8,MATCH(A37,Assumptions!$A$4:$A$8,0))/INDEX(Assumptions!$B$4:$B$8,MATCH(A37,Assumptions!$A$4:$A$8,0)))</f>
        <v>735306.83817</v>
      </c>
      <c r="J37" s="7" t="n">
        <f aca="false">H37-I37</f>
        <v>2941227.35268</v>
      </c>
    </row>
    <row r="38" customFormat="false" ht="15" hidden="false" customHeight="false" outlineLevel="0" collapsed="false">
      <c r="A38" s="2" t="s">
        <v>14</v>
      </c>
      <c r="B38" s="2" t="s">
        <v>36</v>
      </c>
      <c r="C38" s="5" t="n">
        <v>30854</v>
      </c>
      <c r="D38" s="5" t="n">
        <v>2316635385.97</v>
      </c>
      <c r="E38" s="7" t="n">
        <f aca="false">IF(C38=0,0,D38/C38)</f>
        <v>75083.7941910287</v>
      </c>
      <c r="F38" s="8" t="n">
        <f aca="false">INDEX(Assumptions!$B$4:$B$8,MATCH(A38,Assumptions!$A$4:$A$8,0))*Assumptions!$B$10</f>
        <v>0.005</v>
      </c>
      <c r="G38" s="7" t="n">
        <f aca="false">INDEX(Assumptions!$D$4:$D$8,MATCH(A38,Assumptions!$A$4:$A$8,0))</f>
        <v>5000</v>
      </c>
      <c r="H38" s="7" t="n">
        <f aca="false">C38*MIN(E38*F38,G38)</f>
        <v>11583176.92985</v>
      </c>
      <c r="I38" s="7" t="n">
        <f aca="false">IF(INDEX(Assumptions!$B$4:$B$8,MATCH(A38,Assumptions!$A$4:$A$8,0))=0,0,H38*INDEX(Assumptions!$C$4:$C$8,MATCH(A38,Assumptions!$A$4:$A$8,0))/INDEX(Assumptions!$B$4:$B$8,MATCH(A38,Assumptions!$A$4:$A$8,0)))</f>
        <v>2316635.38597</v>
      </c>
      <c r="J38" s="7" t="n">
        <f aca="false">H38-I38</f>
        <v>9266541.54388</v>
      </c>
    </row>
    <row r="39" customFormat="false" ht="15" hidden="false" customHeight="false" outlineLevel="0" collapsed="false">
      <c r="A39" s="2" t="s">
        <v>14</v>
      </c>
      <c r="B39" s="2" t="s">
        <v>37</v>
      </c>
      <c r="C39" s="5" t="n">
        <v>90050</v>
      </c>
      <c r="D39" s="5" t="n">
        <v>15646441640.99</v>
      </c>
      <c r="E39" s="7" t="n">
        <f aca="false">IF(C39=0,0,D39/C39)</f>
        <v>173752.822220877</v>
      </c>
      <c r="F39" s="8" t="n">
        <f aca="false">INDEX(Assumptions!$B$4:$B$8,MATCH(A39,Assumptions!$A$4:$A$8,0))*Assumptions!$B$10</f>
        <v>0.005</v>
      </c>
      <c r="G39" s="7" t="n">
        <f aca="false">INDEX(Assumptions!$D$4:$D$8,MATCH(A39,Assumptions!$A$4:$A$8,0))</f>
        <v>5000</v>
      </c>
      <c r="H39" s="7" t="n">
        <f aca="false">C39*MIN(E39*F39,G39)</f>
        <v>78232208.20495</v>
      </c>
      <c r="I39" s="7" t="n">
        <f aca="false">IF(INDEX(Assumptions!$B$4:$B$8,MATCH(A39,Assumptions!$A$4:$A$8,0))=0,0,H39*INDEX(Assumptions!$C$4:$C$8,MATCH(A39,Assumptions!$A$4:$A$8,0))/INDEX(Assumptions!$B$4:$B$8,MATCH(A39,Assumptions!$A$4:$A$8,0)))</f>
        <v>15646441.64099</v>
      </c>
      <c r="J39" s="7" t="n">
        <f aca="false">H39-I39</f>
        <v>62585766.56396</v>
      </c>
    </row>
    <row r="40" customFormat="false" ht="15" hidden="false" customHeight="false" outlineLevel="0" collapsed="false">
      <c r="A40" s="2" t="s">
        <v>14</v>
      </c>
      <c r="B40" s="2" t="s">
        <v>38</v>
      </c>
      <c r="C40" s="5" t="n">
        <v>118433</v>
      </c>
      <c r="D40" s="5" t="n">
        <v>43494914790.64</v>
      </c>
      <c r="E40" s="7" t="n">
        <f aca="false">IF(C40=0,0,D40/C40)</f>
        <v>367253.339784013</v>
      </c>
      <c r="F40" s="8" t="n">
        <f aca="false">INDEX(Assumptions!$B$4:$B$8,MATCH(A40,Assumptions!$A$4:$A$8,0))*Assumptions!$B$10</f>
        <v>0.005</v>
      </c>
      <c r="G40" s="7" t="n">
        <f aca="false">INDEX(Assumptions!$D$4:$D$8,MATCH(A40,Assumptions!$A$4:$A$8,0))</f>
        <v>5000</v>
      </c>
      <c r="H40" s="7" t="n">
        <f aca="false">C40*MIN(E40*F40,G40)</f>
        <v>217474573.9532</v>
      </c>
      <c r="I40" s="7" t="n">
        <f aca="false">IF(INDEX(Assumptions!$B$4:$B$8,MATCH(A40,Assumptions!$A$4:$A$8,0))=0,0,H40*INDEX(Assumptions!$C$4:$C$8,MATCH(A40,Assumptions!$A$4:$A$8,0))/INDEX(Assumptions!$B$4:$B$8,MATCH(A40,Assumptions!$A$4:$A$8,0)))</f>
        <v>43494914.79064</v>
      </c>
      <c r="J40" s="7" t="n">
        <f aca="false">H40-I40</f>
        <v>173979659.16256</v>
      </c>
    </row>
    <row r="41" customFormat="false" ht="15" hidden="false" customHeight="false" outlineLevel="0" collapsed="false">
      <c r="A41" s="2" t="s">
        <v>14</v>
      </c>
      <c r="B41" s="2" t="s">
        <v>40</v>
      </c>
      <c r="C41" s="5" t="n">
        <v>131630</v>
      </c>
      <c r="D41" s="5" t="n">
        <v>94251641208.74</v>
      </c>
      <c r="E41" s="7" t="n">
        <f aca="false">IF(C41=0,0,D41/C41)</f>
        <v>716034.651741548</v>
      </c>
      <c r="F41" s="8" t="n">
        <f aca="false">INDEX(Assumptions!$B$4:$B$8,MATCH(A41,Assumptions!$A$4:$A$8,0))*Assumptions!$B$10</f>
        <v>0.005</v>
      </c>
      <c r="G41" s="7" t="n">
        <f aca="false">INDEX(Assumptions!$D$4:$D$8,MATCH(A41,Assumptions!$A$4:$A$8,0))</f>
        <v>5000</v>
      </c>
      <c r="H41" s="7" t="n">
        <f aca="false">C41*MIN(E41*F41,G41)</f>
        <v>471258206.0437</v>
      </c>
      <c r="I41" s="7" t="n">
        <f aca="false">IF(INDEX(Assumptions!$B$4:$B$8,MATCH(A41,Assumptions!$A$4:$A$8,0))=0,0,H41*INDEX(Assumptions!$C$4:$C$8,MATCH(A41,Assumptions!$A$4:$A$8,0))/INDEX(Assumptions!$B$4:$B$8,MATCH(A41,Assumptions!$A$4:$A$8,0)))</f>
        <v>94251641.20874</v>
      </c>
      <c r="J41" s="7" t="n">
        <f aca="false">H41-I41</f>
        <v>377006564.83496</v>
      </c>
    </row>
    <row r="42" customFormat="false" ht="15" hidden="false" customHeight="false" outlineLevel="0" collapsed="false">
      <c r="A42" s="2" t="s">
        <v>14</v>
      </c>
      <c r="B42" s="2" t="s">
        <v>41</v>
      </c>
      <c r="C42" s="5" t="n">
        <v>116727</v>
      </c>
      <c r="D42" s="5" t="n">
        <v>208048736001.56</v>
      </c>
      <c r="E42" s="7" t="n">
        <f aca="false">IF(C42=0,0,D42/C42)</f>
        <v>1782353.14881356</v>
      </c>
      <c r="F42" s="8" t="n">
        <f aca="false">INDEX(Assumptions!$B$4:$B$8,MATCH(A42,Assumptions!$A$4:$A$8,0))*Assumptions!$B$10</f>
        <v>0.005</v>
      </c>
      <c r="G42" s="7" t="n">
        <f aca="false">INDEX(Assumptions!$D$4:$D$8,MATCH(A42,Assumptions!$A$4:$A$8,0))</f>
        <v>5000</v>
      </c>
      <c r="H42" s="7" t="n">
        <f aca="false">C42*MIN(E42*F42,G42)</f>
        <v>583635000</v>
      </c>
      <c r="I42" s="7" t="n">
        <f aca="false">IF(INDEX(Assumptions!$B$4:$B$8,MATCH(A42,Assumptions!$A$4:$A$8,0))=0,0,H42*INDEX(Assumptions!$C$4:$C$8,MATCH(A42,Assumptions!$A$4:$A$8,0))/INDEX(Assumptions!$B$4:$B$8,MATCH(A42,Assumptions!$A$4:$A$8,0)))</f>
        <v>116727000</v>
      </c>
      <c r="J42" s="7" t="n">
        <f aca="false">H42-I42</f>
        <v>466908000</v>
      </c>
    </row>
    <row r="43" customFormat="false" ht="15" hidden="false" customHeight="false" outlineLevel="0" collapsed="false">
      <c r="A43" s="2" t="s">
        <v>14</v>
      </c>
      <c r="B43" s="2" t="s">
        <v>43</v>
      </c>
      <c r="C43" s="5" t="n">
        <v>10771</v>
      </c>
      <c r="D43" s="5" t="n">
        <v>114701060090.26</v>
      </c>
      <c r="E43" s="7" t="n">
        <f aca="false">IF(C43=0,0,D43/C43)</f>
        <v>10649063.2337072</v>
      </c>
      <c r="F43" s="8" t="n">
        <f aca="false">INDEX(Assumptions!$B$4:$B$8,MATCH(A43,Assumptions!$A$4:$A$8,0))*Assumptions!$B$10</f>
        <v>0.005</v>
      </c>
      <c r="G43" s="7" t="n">
        <f aca="false">INDEX(Assumptions!$D$4:$D$8,MATCH(A43,Assumptions!$A$4:$A$8,0))</f>
        <v>5000</v>
      </c>
      <c r="H43" s="7" t="n">
        <f aca="false">C43*MIN(E43*F43,G43)</f>
        <v>53855000</v>
      </c>
      <c r="I43" s="7" t="n">
        <f aca="false">IF(INDEX(Assumptions!$B$4:$B$8,MATCH(A43,Assumptions!$A$4:$A$8,0))=0,0,H43*INDEX(Assumptions!$C$4:$C$8,MATCH(A43,Assumptions!$A$4:$A$8,0))/INDEX(Assumptions!$B$4:$B$8,MATCH(A43,Assumptions!$A$4:$A$8,0)))</f>
        <v>10771000</v>
      </c>
      <c r="J43" s="7" t="n">
        <f aca="false">H43-I43</f>
        <v>43084000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11" t="s">
        <v>44</v>
      </c>
      <c r="B1" s="11" t="s">
        <v>45</v>
      </c>
    </row>
    <row r="2" customFormat="false" ht="15" hidden="false" customHeight="false" outlineLevel="0" collapsed="false">
      <c r="A2" s="2" t="s">
        <v>46</v>
      </c>
      <c r="B2" s="12" t="n">
        <v>6362620</v>
      </c>
    </row>
    <row r="3" customFormat="false" ht="15" hidden="false" customHeight="false" outlineLevel="0" collapsed="false">
      <c r="A3" s="2" t="s">
        <v>47</v>
      </c>
      <c r="B3" s="12" t="n">
        <v>743</v>
      </c>
    </row>
    <row r="4" customFormat="false" ht="15" hidden="false" customHeight="false" outlineLevel="0" collapsed="false">
      <c r="A4" s="2" t="s">
        <v>48</v>
      </c>
      <c r="B4" s="12" t="n">
        <v>31</v>
      </c>
    </row>
    <row r="5" customFormat="false" ht="15" hidden="false" customHeight="false" outlineLevel="0" collapsed="false">
      <c r="A5" s="2" t="s">
        <v>49</v>
      </c>
      <c r="B5" s="12" t="n">
        <v>30</v>
      </c>
    </row>
    <row r="6" customFormat="false" ht="15" hidden="false" customHeight="false" outlineLevel="0" collapsed="false">
      <c r="A6" s="2" t="s">
        <v>50</v>
      </c>
      <c r="B6" s="12" t="n">
        <v>6362620</v>
      </c>
    </row>
    <row r="7" customFormat="false" ht="15" hidden="false" customHeight="false" outlineLevel="0" collapsed="false">
      <c r="A7" s="2" t="s">
        <v>51</v>
      </c>
      <c r="B7" s="12" t="n">
        <v>1144392944759.77</v>
      </c>
    </row>
    <row r="8" customFormat="false" ht="15" hidden="false" customHeight="false" outlineLevel="0" collapsed="false">
      <c r="A8" s="2" t="s">
        <v>23</v>
      </c>
      <c r="B8" s="12" t="n">
        <v>179861.903549131</v>
      </c>
    </row>
    <row r="9" customFormat="false" ht="15" hidden="false" customHeight="false" outlineLevel="0" collapsed="false">
      <c r="A9" s="2" t="s">
        <v>52</v>
      </c>
      <c r="B9" s="12" t="n">
        <v>74871.94</v>
      </c>
    </row>
    <row r="10" customFormat="false" ht="15" hidden="false" customHeight="false" outlineLevel="0" collapsed="false">
      <c r="A10" s="2" t="s">
        <v>53</v>
      </c>
      <c r="B10" s="12" t="n">
        <v>6354407</v>
      </c>
    </row>
    <row r="11" customFormat="false" ht="15" hidden="false" customHeight="false" outlineLevel="0" collapsed="false">
      <c r="A11" s="2" t="s">
        <v>54</v>
      </c>
      <c r="B11" s="12" t="n">
        <v>1132336529331.93</v>
      </c>
    </row>
    <row r="12" customFormat="false" ht="15" hidden="false" customHeight="false" outlineLevel="0" collapsed="false">
      <c r="A12" s="2" t="s">
        <v>55</v>
      </c>
      <c r="B12" s="12" t="n">
        <v>8213</v>
      </c>
    </row>
    <row r="13" customFormat="false" ht="15" hidden="false" customHeight="false" outlineLevel="0" collapsed="false">
      <c r="A13" s="2" t="s">
        <v>56</v>
      </c>
      <c r="B13" s="12" t="n">
        <v>12056415427.84</v>
      </c>
    </row>
    <row r="14" customFormat="false" ht="15" hidden="false" customHeight="false" outlineLevel="0" collapsed="false">
      <c r="A14" s="2" t="s">
        <v>57</v>
      </c>
      <c r="B14" s="12" t="n">
        <v>0.0012908204481801</v>
      </c>
    </row>
    <row r="15" customFormat="false" ht="15" hidden="false" customHeight="false" outlineLevel="0" collapsed="false">
      <c r="A15" s="2" t="s">
        <v>58</v>
      </c>
      <c r="B15" s="12" t="n">
        <v>0.0105352060086064</v>
      </c>
    </row>
    <row r="16" customFormat="false" ht="15" hidden="false" customHeight="false" outlineLevel="0" collapsed="false">
      <c r="A16" s="2" t="s">
        <v>59</v>
      </c>
      <c r="B16" s="12" t="n">
        <v>16</v>
      </c>
    </row>
    <row r="17" customFormat="false" ht="15" hidden="false" customHeight="false" outlineLevel="0" collapsed="false">
      <c r="A17" s="2" t="s">
        <v>60</v>
      </c>
      <c r="B17" s="12" t="n">
        <v>3601595</v>
      </c>
    </row>
    <row r="18" customFormat="false" ht="15" hidden="false" customHeight="false" outlineLevel="0" collapsed="false">
      <c r="A18" s="2" t="s">
        <v>61</v>
      </c>
      <c r="B18" s="12" t="n">
        <v>0.566055335695044</v>
      </c>
    </row>
    <row r="19" customFormat="false" ht="15" hidden="false" customHeight="false" outlineLevel="0" collapsed="false">
      <c r="A19" s="2" t="s">
        <v>62</v>
      </c>
      <c r="B19" s="12" t="n">
        <v>6345122</v>
      </c>
    </row>
    <row r="20" customFormat="false" ht="15" hidden="false" customHeight="false" outlineLevel="0" collapsed="false">
      <c r="A20" s="2" t="s">
        <v>63</v>
      </c>
      <c r="B20" s="12" t="n">
        <v>204962.451612903</v>
      </c>
    </row>
    <row r="21" customFormat="false" ht="15" hidden="false" customHeight="false" outlineLevel="0" collapsed="false">
      <c r="A21" s="2" t="s">
        <v>64</v>
      </c>
      <c r="B21" s="12" t="n">
        <v>211794.533333333</v>
      </c>
    </row>
    <row r="22" customFormat="false" ht="15" hidden="false" customHeight="false" outlineLevel="0" collapsed="false">
      <c r="A22" s="2" t="s">
        <v>65</v>
      </c>
      <c r="B22" s="12" t="n">
        <v>0.0323023657563878</v>
      </c>
    </row>
    <row r="23" customFormat="false" ht="15" hidden="false" customHeight="false" outlineLevel="0" collapsed="false">
      <c r="A23" s="2" t="s">
        <v>66</v>
      </c>
      <c r="B23" s="12" t="n">
        <v>0.0333791112816007</v>
      </c>
    </row>
    <row r="24" customFormat="false" ht="15" hidden="false" customHeight="false" outlineLevel="0" collapsed="false">
      <c r="A24" s="2" t="s">
        <v>67</v>
      </c>
      <c r="B24" s="12" t="n">
        <v>573913</v>
      </c>
    </row>
    <row r="25" customFormat="false" ht="15" hidden="false" customHeight="false" outlineLevel="0" collapsed="false">
      <c r="A25" s="2" t="s">
        <v>68</v>
      </c>
      <c r="B25" s="12" t="n">
        <v>1</v>
      </c>
    </row>
    <row r="26" customFormat="false" ht="15" hidden="false" customHeight="false" outlineLevel="0" collapsed="false">
      <c r="A26" s="2" t="s">
        <v>69</v>
      </c>
      <c r="B26" s="12" t="n">
        <v>6912642</v>
      </c>
    </row>
    <row r="27" customFormat="false" ht="15" hidden="false" customHeight="false" outlineLevel="0" collapsed="false">
      <c r="A27" s="2" t="s">
        <v>70</v>
      </c>
      <c r="B27" s="12" t="n">
        <v>295715.8</v>
      </c>
    </row>
    <row r="28" customFormat="false" ht="15" hidden="false" customHeight="false" outlineLevel="0" collapsed="false">
      <c r="A28" s="2" t="s">
        <v>71</v>
      </c>
      <c r="B28" s="12" t="n">
        <v>0.042778983780731</v>
      </c>
    </row>
    <row r="29" customFormat="false" ht="15" hidden="false" customHeight="false" outlineLevel="0" collapsed="false">
      <c r="A29" s="2" t="s">
        <v>72</v>
      </c>
      <c r="B29" s="12" t="n">
        <v>6335852</v>
      </c>
    </row>
    <row r="30" customFormat="false" ht="15" hidden="false" customHeight="false" outlineLevel="0" collapsed="false">
      <c r="A30" s="2" t="s">
        <v>73</v>
      </c>
      <c r="B30" s="12" t="n">
        <v>9270</v>
      </c>
    </row>
    <row r="31" customFormat="false" ht="15" hidden="false" customHeight="false" outlineLevel="0" collapsed="false">
      <c r="A31" s="2" t="s">
        <v>74</v>
      </c>
      <c r="B31" s="12" t="n">
        <v>0.0014609648167521</v>
      </c>
    </row>
    <row r="32" customFormat="false" ht="15" hidden="false" customHeight="false" outlineLevel="0" collapsed="false">
      <c r="A32" s="2" t="s">
        <v>75</v>
      </c>
      <c r="B32" s="12" t="n">
        <v>3</v>
      </c>
    </row>
    <row r="33" customFormat="false" ht="15" hidden="false" customHeight="false" outlineLevel="0" collapsed="false">
      <c r="A33" s="2" t="s">
        <v>76</v>
      </c>
      <c r="B33" s="12" t="n">
        <v>2150401</v>
      </c>
    </row>
    <row r="34" customFormat="false" ht="15" hidden="false" customHeight="false" outlineLevel="0" collapsed="false">
      <c r="A34" s="2" t="s">
        <v>77</v>
      </c>
      <c r="B34" s="12" t="n">
        <v>7122390488.0712</v>
      </c>
    </row>
    <row r="35" customFormat="false" ht="15" hidden="false" customHeight="false" outlineLevel="0" collapsed="false">
      <c r="A35" s="2" t="s">
        <v>78</v>
      </c>
      <c r="B35" s="12" t="n">
        <v>3649074395.37002</v>
      </c>
    </row>
    <row r="36" customFormat="false" ht="15" hidden="false" customHeight="false" outlineLevel="0" collapsed="false">
      <c r="A36" s="2" t="s">
        <v>79</v>
      </c>
      <c r="B36" s="12" t="n">
        <v>3473316092.70118</v>
      </c>
    </row>
    <row r="37" customFormat="false" ht="15" hidden="false" customHeight="false" outlineLevel="0" collapsed="false">
      <c r="A37" s="2" t="s">
        <v>80</v>
      </c>
      <c r="B37" s="12" t="n">
        <v>1120.85840395039</v>
      </c>
    </row>
    <row r="38" customFormat="false" ht="15" hidden="false" customHeight="false" outlineLevel="0" collapsed="false">
      <c r="A38" s="2" t="s">
        <v>81</v>
      </c>
      <c r="B38" s="12" t="n">
        <v>3.47115410923162</v>
      </c>
    </row>
    <row r="39" customFormat="false" ht="15" hidden="false" customHeight="false" outlineLevel="0" collapsed="false">
      <c r="A39" s="2" t="s">
        <v>82</v>
      </c>
      <c r="B39" s="12" t="n">
        <v>14</v>
      </c>
    </row>
    <row r="40" customFormat="false" ht="15" hidden="false" customHeight="false" outlineLevel="0" collapsed="false">
      <c r="A40" s="2" t="s">
        <v>83</v>
      </c>
      <c r="B40" s="12" t="n">
        <v>0.934885000204318</v>
      </c>
    </row>
    <row r="41" customFormat="false" ht="15" hidden="false" customHeight="false" outlineLevel="0" collapsed="false">
      <c r="A41" s="2" t="s">
        <v>84</v>
      </c>
      <c r="B41" s="12" t="n">
        <v>0</v>
      </c>
    </row>
    <row r="42" customFormat="false" ht="15" hidden="false" customHeight="false" outlineLevel="0" collapsed="false">
      <c r="A42" s="2" t="s">
        <v>85</v>
      </c>
      <c r="B42" s="12" t="n">
        <v>856010.160826238</v>
      </c>
    </row>
    <row r="43" customFormat="false" ht="15" hidden="false" customHeight="false" outlineLevel="0" collapsed="false">
      <c r="A43" s="2" t="s">
        <v>86</v>
      </c>
      <c r="B43" s="12" t="n">
        <v>207837.14</v>
      </c>
    </row>
    <row r="44" customFormat="false" ht="15" hidden="false" customHeight="false" outlineLevel="0" collapsed="false">
      <c r="A44" s="2" t="s">
        <v>87</v>
      </c>
      <c r="B44" s="12" t="n">
        <v>1975838.36392724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1" min="10" style="0" width="17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19"/>
    <col collapsed="false" customWidth="true" hidden="false" outlineLevel="0" max="20" min="20" style="0" width="23"/>
    <col collapsed="false" customWidth="true" hidden="false" outlineLevel="0" max="21" min="21" style="0" width="18"/>
    <col collapsed="false" customWidth="true" hidden="false" outlineLevel="0" max="22" min="22" style="0" width="19"/>
    <col collapsed="false" customWidth="true" hidden="false" outlineLevel="0" max="23" min="23" style="0" width="22"/>
    <col collapsed="false" customWidth="true" hidden="false" outlineLevel="0" max="24" min="24" style="0" width="12"/>
  </cols>
  <sheetData>
    <row r="1" customFormat="false" ht="15" hidden="false" customHeight="false" outlineLevel="0" collapsed="false">
      <c r="A1" s="11" t="s">
        <v>88</v>
      </c>
      <c r="B1" s="11" t="s">
        <v>89</v>
      </c>
      <c r="C1" s="11" t="s">
        <v>90</v>
      </c>
      <c r="D1" s="11" t="s">
        <v>50</v>
      </c>
      <c r="E1" s="11" t="s">
        <v>51</v>
      </c>
      <c r="F1" s="11" t="s">
        <v>55</v>
      </c>
      <c r="G1" s="11" t="s">
        <v>59</v>
      </c>
      <c r="H1" s="11" t="s">
        <v>91</v>
      </c>
      <c r="I1" s="11" t="s">
        <v>56</v>
      </c>
      <c r="J1" s="11" t="s">
        <v>92</v>
      </c>
      <c r="K1" s="11" t="s">
        <v>22</v>
      </c>
      <c r="L1" s="11" t="s">
        <v>93</v>
      </c>
      <c r="M1" s="11" t="s">
        <v>26</v>
      </c>
      <c r="N1" s="11" t="s">
        <v>94</v>
      </c>
      <c r="O1" s="11" t="s">
        <v>95</v>
      </c>
      <c r="P1" s="11" t="s">
        <v>96</v>
      </c>
      <c r="Q1" s="11" t="s">
        <v>97</v>
      </c>
      <c r="R1" s="11" t="s">
        <v>23</v>
      </c>
      <c r="S1" s="11" t="s">
        <v>57</v>
      </c>
      <c r="T1" s="11" t="s">
        <v>61</v>
      </c>
      <c r="U1" s="11" t="s">
        <v>98</v>
      </c>
      <c r="V1" s="11" t="s">
        <v>99</v>
      </c>
      <c r="W1" s="11" t="s">
        <v>100</v>
      </c>
      <c r="X1" s="11" t="s">
        <v>101</v>
      </c>
    </row>
    <row r="2" customFormat="false" ht="15" hidden="false" customHeight="false" outlineLevel="0" collapsed="false">
      <c r="A2" s="2" t="n">
        <v>1</v>
      </c>
      <c r="B2" s="2" t="n">
        <v>24</v>
      </c>
      <c r="C2" s="13" t="b">
        <f aca="false">TRUE()</f>
        <v>1</v>
      </c>
      <c r="D2" s="7" t="n">
        <v>574255</v>
      </c>
      <c r="E2" s="7" t="n">
        <v>92131865625.65</v>
      </c>
      <c r="F2" s="2" t="n">
        <v>271</v>
      </c>
      <c r="G2" s="2" t="n">
        <v>0</v>
      </c>
      <c r="H2" s="2" t="n">
        <v>312400</v>
      </c>
      <c r="I2" s="2" t="n">
        <v>211163827.46</v>
      </c>
      <c r="J2" s="2" t="n">
        <v>573984</v>
      </c>
      <c r="K2" s="2" t="n">
        <v>91920701798.19</v>
      </c>
      <c r="L2" s="7" t="n">
        <v>660670295.20835</v>
      </c>
      <c r="M2" s="2" t="n">
        <v>342023819.86457</v>
      </c>
      <c r="N2" s="7" t="n">
        <v>318646475.34378</v>
      </c>
      <c r="O2" s="7" t="n">
        <v>573913</v>
      </c>
      <c r="P2" s="2" t="n">
        <v>573913</v>
      </c>
      <c r="Q2" s="2" t="n">
        <v>0</v>
      </c>
      <c r="R2" s="2" t="n">
        <v>160437.202332849</v>
      </c>
      <c r="S2" s="8" t="n">
        <v>0.0004719157865408</v>
      </c>
      <c r="T2" s="8" t="n">
        <v>0.544009194521598</v>
      </c>
      <c r="U2" s="13" t="b">
        <f aca="false">TRUE()</f>
        <v>1</v>
      </c>
      <c r="V2" s="2" t="n">
        <v>1997857.12368263</v>
      </c>
      <c r="W2" s="2" t="n">
        <v>244376.1</v>
      </c>
      <c r="X2" s="2" t="n">
        <v>261601</v>
      </c>
    </row>
    <row r="3" customFormat="false" ht="15" hidden="false" customHeight="false" outlineLevel="0" collapsed="false">
      <c r="A3" s="2" t="n">
        <v>2</v>
      </c>
      <c r="B3" s="2" t="n">
        <v>24</v>
      </c>
      <c r="C3" s="13" t="b">
        <f aca="false">TRUE()</f>
        <v>1</v>
      </c>
      <c r="D3" s="7" t="n">
        <v>455238</v>
      </c>
      <c r="E3" s="7" t="n">
        <v>71238642397.16</v>
      </c>
      <c r="F3" s="2" t="n">
        <v>309</v>
      </c>
      <c r="G3" s="2" t="n">
        <v>0</v>
      </c>
      <c r="H3" s="2" t="n">
        <v>257651</v>
      </c>
      <c r="I3" s="2" t="n">
        <v>379239685.07</v>
      </c>
      <c r="J3" s="2" t="n">
        <v>454929</v>
      </c>
      <c r="K3" s="2" t="n">
        <v>70859402712.09</v>
      </c>
      <c r="L3" s="7" t="n">
        <v>525019970.09215</v>
      </c>
      <c r="M3" s="2" t="n">
        <v>274100244.18959</v>
      </c>
      <c r="N3" s="7" t="n">
        <v>250919725.90256</v>
      </c>
      <c r="O3" s="7" t="n">
        <v>454879</v>
      </c>
      <c r="P3" s="2" t="n">
        <v>454748</v>
      </c>
      <c r="Q3" s="2" t="n">
        <v>131</v>
      </c>
      <c r="R3" s="2" t="n">
        <v>156486.590304764</v>
      </c>
      <c r="S3" s="8" t="n">
        <v>0.0006787658323777</v>
      </c>
      <c r="T3" s="8" t="n">
        <v>0.565969888278219</v>
      </c>
      <c r="U3" s="13" t="b">
        <f aca="false">TRUE()</f>
        <v>1</v>
      </c>
      <c r="V3" s="2" t="n">
        <v>2020670.9422875</v>
      </c>
      <c r="W3" s="2" t="n">
        <v>213642.61</v>
      </c>
      <c r="X3" s="2" t="n">
        <v>197285</v>
      </c>
    </row>
    <row r="4" customFormat="false" ht="15" hidden="false" customHeight="false" outlineLevel="0" collapsed="false">
      <c r="A4" s="2" t="n">
        <v>3</v>
      </c>
      <c r="B4" s="2" t="n">
        <v>24</v>
      </c>
      <c r="C4" s="13" t="b">
        <f aca="false">TRUE()</f>
        <v>1</v>
      </c>
      <c r="D4" s="7" t="n">
        <v>1070</v>
      </c>
      <c r="E4" s="7" t="n">
        <v>447084472.63</v>
      </c>
      <c r="F4" s="2" t="n">
        <v>310</v>
      </c>
      <c r="G4" s="2" t="n">
        <v>0</v>
      </c>
      <c r="H4" s="2" t="n">
        <v>271</v>
      </c>
      <c r="I4" s="2" t="n">
        <v>394508860.6</v>
      </c>
      <c r="J4" s="2" t="n">
        <v>760</v>
      </c>
      <c r="K4" s="2" t="n">
        <v>52575612.03</v>
      </c>
      <c r="L4" s="7" t="n">
        <v>268076.90315</v>
      </c>
      <c r="M4" s="2" t="n">
        <v>133329.45212</v>
      </c>
      <c r="N4" s="7" t="n">
        <v>134747.45103</v>
      </c>
      <c r="O4" s="7" t="n">
        <v>760</v>
      </c>
      <c r="P4" s="2" t="n">
        <v>760</v>
      </c>
      <c r="Q4" s="2" t="n">
        <v>0</v>
      </c>
      <c r="R4" s="2" t="n">
        <v>417835.955728972</v>
      </c>
      <c r="S4" s="8" t="n">
        <v>0.289719626168224</v>
      </c>
      <c r="T4" s="8" t="n">
        <v>0.253271028037383</v>
      </c>
      <c r="U4" s="13" t="b">
        <f aca="false">FALSE()</f>
        <v>0</v>
      </c>
      <c r="V4" s="2" t="n">
        <v>1479292.28312884</v>
      </c>
      <c r="W4" s="2" t="n">
        <v>70781.69</v>
      </c>
      <c r="X4" s="2" t="n">
        <v>489</v>
      </c>
    </row>
    <row r="5" customFormat="false" ht="15" hidden="false" customHeight="false" outlineLevel="0" collapsed="false">
      <c r="A5" s="2" t="n">
        <v>4</v>
      </c>
      <c r="B5" s="2" t="n">
        <v>24</v>
      </c>
      <c r="C5" s="13" t="b">
        <f aca="false">TRUE()</f>
        <v>1</v>
      </c>
      <c r="D5" s="7" t="n">
        <v>28240</v>
      </c>
      <c r="E5" s="7" t="n">
        <v>3830547360.59</v>
      </c>
      <c r="F5" s="2" t="n">
        <v>262</v>
      </c>
      <c r="G5" s="2" t="n">
        <v>0</v>
      </c>
      <c r="H5" s="2" t="n">
        <v>13423</v>
      </c>
      <c r="I5" s="2" t="n">
        <v>438246816.02</v>
      </c>
      <c r="J5" s="2" t="n">
        <v>27978</v>
      </c>
      <c r="K5" s="2" t="n">
        <v>3392300544.57</v>
      </c>
      <c r="L5" s="7" t="n">
        <v>21344895.6651</v>
      </c>
      <c r="M5" s="2" t="n">
        <v>10362256.16163</v>
      </c>
      <c r="N5" s="7" t="n">
        <v>10982639.50347</v>
      </c>
      <c r="O5" s="7" t="n">
        <v>27978</v>
      </c>
      <c r="P5" s="2" t="n">
        <v>27971</v>
      </c>
      <c r="Q5" s="2" t="n">
        <v>7</v>
      </c>
      <c r="R5" s="2" t="n">
        <v>135642.611918909</v>
      </c>
      <c r="S5" s="8" t="n">
        <v>0.0092776203966005</v>
      </c>
      <c r="T5" s="8" t="n">
        <v>0.475318696883853</v>
      </c>
      <c r="U5" s="13" t="b">
        <f aca="false">FALSE()</f>
        <v>0</v>
      </c>
      <c r="V5" s="2" t="n">
        <v>1462947.42990725</v>
      </c>
      <c r="W5" s="2" t="n">
        <v>86693.84</v>
      </c>
      <c r="X5" s="2" t="n">
        <v>14555</v>
      </c>
    </row>
    <row r="6" customFormat="false" ht="15" hidden="false" customHeight="false" outlineLevel="0" collapsed="false">
      <c r="A6" s="2" t="n">
        <v>5</v>
      </c>
      <c r="B6" s="2" t="n">
        <v>24</v>
      </c>
      <c r="C6" s="13" t="b">
        <f aca="false">TRUE()</f>
        <v>1</v>
      </c>
      <c r="D6" s="7" t="n">
        <v>9789</v>
      </c>
      <c r="E6" s="7" t="n">
        <v>1325133839.05</v>
      </c>
      <c r="F6" s="2" t="n">
        <v>252</v>
      </c>
      <c r="G6" s="2" t="n">
        <v>0</v>
      </c>
      <c r="H6" s="2" t="n">
        <v>4372</v>
      </c>
      <c r="I6" s="2" t="n">
        <v>244980578.12</v>
      </c>
      <c r="J6" s="2" t="n">
        <v>9537</v>
      </c>
      <c r="K6" s="2" t="n">
        <v>1080153260.93</v>
      </c>
      <c r="L6" s="7" t="n">
        <v>6544168.1887</v>
      </c>
      <c r="M6" s="2" t="n">
        <v>3053678.64796</v>
      </c>
      <c r="N6" s="7" t="n">
        <v>3490489.54074</v>
      </c>
      <c r="O6" s="7" t="n">
        <v>9537</v>
      </c>
      <c r="P6" s="2" t="n">
        <v>9532</v>
      </c>
      <c r="Q6" s="2" t="n">
        <v>5</v>
      </c>
      <c r="R6" s="2" t="n">
        <v>135369.684242517</v>
      </c>
      <c r="S6" s="8" t="n">
        <v>0.0257431811216671</v>
      </c>
      <c r="T6" s="8" t="n">
        <v>0.446623761364797</v>
      </c>
      <c r="U6" s="13" t="b">
        <f aca="false">FALSE()</f>
        <v>0</v>
      </c>
      <c r="V6" s="2" t="n">
        <v>1144814.79433495</v>
      </c>
      <c r="W6" s="2" t="n">
        <v>67749.09</v>
      </c>
      <c r="X6" s="2" t="n">
        <v>5165</v>
      </c>
    </row>
    <row r="7" customFormat="false" ht="15" hidden="false" customHeight="false" outlineLevel="0" collapsed="false">
      <c r="A7" s="2" t="n">
        <v>6</v>
      </c>
      <c r="B7" s="2" t="n">
        <v>24</v>
      </c>
      <c r="C7" s="13" t="b">
        <f aca="false">TRUE()</f>
        <v>1</v>
      </c>
      <c r="D7" s="7" t="n">
        <v>441005</v>
      </c>
      <c r="E7" s="7" t="n">
        <v>73409986368.34</v>
      </c>
      <c r="F7" s="2" t="n">
        <v>228</v>
      </c>
      <c r="G7" s="2" t="n">
        <v>0</v>
      </c>
      <c r="H7" s="2" t="n">
        <v>254922</v>
      </c>
      <c r="I7" s="2" t="n">
        <v>367233582.4</v>
      </c>
      <c r="J7" s="2" t="n">
        <v>440777</v>
      </c>
      <c r="K7" s="2" t="n">
        <v>73042752785.94</v>
      </c>
      <c r="L7" s="7" t="n">
        <v>525254818.9943</v>
      </c>
      <c r="M7" s="2" t="n">
        <v>272443897.66759</v>
      </c>
      <c r="N7" s="7" t="n">
        <v>252810921.32671</v>
      </c>
      <c r="O7" s="7" t="n">
        <v>440734</v>
      </c>
      <c r="P7" s="2" t="n">
        <v>440508</v>
      </c>
      <c r="Q7" s="2" t="n">
        <v>226</v>
      </c>
      <c r="R7" s="2" t="n">
        <v>166460.666814072</v>
      </c>
      <c r="S7" s="8" t="n">
        <v>0.0005170009410324</v>
      </c>
      <c r="T7" s="8" t="n">
        <v>0.578047867938005</v>
      </c>
      <c r="U7" s="13" t="b">
        <f aca="false">TRUE()</f>
        <v>1</v>
      </c>
      <c r="V7" s="2" t="n">
        <v>2111655.83515859</v>
      </c>
      <c r="W7" s="2" t="n">
        <v>233570.48</v>
      </c>
      <c r="X7" s="2" t="n">
        <v>185855</v>
      </c>
    </row>
    <row r="8" customFormat="false" ht="15" hidden="false" customHeight="false" outlineLevel="0" collapsed="false">
      <c r="A8" s="2" t="n">
        <v>7</v>
      </c>
      <c r="B8" s="2" t="n">
        <v>24</v>
      </c>
      <c r="C8" s="13" t="b">
        <f aca="false">TRUE()</f>
        <v>1</v>
      </c>
      <c r="D8" s="7" t="n">
        <v>420583</v>
      </c>
      <c r="E8" s="7" t="n">
        <v>67070777584.77</v>
      </c>
      <c r="F8" s="2" t="n">
        <v>272</v>
      </c>
      <c r="G8" s="2" t="n">
        <v>0</v>
      </c>
      <c r="H8" s="2" t="n">
        <v>239043</v>
      </c>
      <c r="I8" s="2" t="n">
        <v>401790128.8</v>
      </c>
      <c r="J8" s="2" t="n">
        <v>420311</v>
      </c>
      <c r="K8" s="2" t="n">
        <v>66668987455.97</v>
      </c>
      <c r="L8" s="7" t="n">
        <v>484227251.28715</v>
      </c>
      <c r="M8" s="2" t="n">
        <v>251237489.74039</v>
      </c>
      <c r="N8" s="7" t="n">
        <v>232989761.54676</v>
      </c>
      <c r="O8" s="7" t="n">
        <v>420276</v>
      </c>
      <c r="P8" s="2" t="n">
        <v>419988</v>
      </c>
      <c r="Q8" s="2" t="n">
        <v>288</v>
      </c>
      <c r="R8" s="2" t="n">
        <v>159470.966693304</v>
      </c>
      <c r="S8" s="8" t="n">
        <v>0.000646721336811</v>
      </c>
      <c r="T8" s="8" t="n">
        <v>0.568361060718098</v>
      </c>
      <c r="U8" s="13" t="b">
        <f aca="false">TRUE()</f>
        <v>1</v>
      </c>
      <c r="V8" s="2" t="n">
        <v>1934799.59362607</v>
      </c>
      <c r="W8" s="2" t="n">
        <v>212134.03</v>
      </c>
      <c r="X8" s="2" t="n">
        <v>181268</v>
      </c>
    </row>
    <row r="9" customFormat="false" ht="15" hidden="false" customHeight="false" outlineLevel="0" collapsed="false">
      <c r="A9" s="2" t="n">
        <v>8</v>
      </c>
      <c r="B9" s="2" t="n">
        <v>24</v>
      </c>
      <c r="C9" s="13" t="b">
        <f aca="false">TRUE()</f>
        <v>1</v>
      </c>
      <c r="D9" s="7" t="n">
        <v>449637</v>
      </c>
      <c r="E9" s="7" t="n">
        <v>70030598500.48</v>
      </c>
      <c r="F9" s="2" t="n">
        <v>278</v>
      </c>
      <c r="G9" s="2" t="n">
        <v>0</v>
      </c>
      <c r="H9" s="2" t="n">
        <v>253639</v>
      </c>
      <c r="I9" s="2" t="n">
        <v>351994017.01</v>
      </c>
      <c r="J9" s="2" t="n">
        <v>449359</v>
      </c>
      <c r="K9" s="2" t="n">
        <v>69678604483.47</v>
      </c>
      <c r="L9" s="7" t="n">
        <v>499266971.981</v>
      </c>
      <c r="M9" s="2" t="n">
        <v>258294939.0517</v>
      </c>
      <c r="N9" s="7" t="n">
        <v>240972032.9293</v>
      </c>
      <c r="O9" s="7" t="n">
        <v>449311</v>
      </c>
      <c r="P9" s="2" t="n">
        <v>448902</v>
      </c>
      <c r="Q9" s="2" t="n">
        <v>409</v>
      </c>
      <c r="R9" s="2" t="n">
        <v>155749.189903144</v>
      </c>
      <c r="S9" s="8" t="n">
        <v>0.0006182765208379</v>
      </c>
      <c r="T9" s="8" t="n">
        <v>0.56409726067917</v>
      </c>
      <c r="U9" s="13" t="b">
        <f aca="false">TRUE()</f>
        <v>1</v>
      </c>
      <c r="V9" s="2" t="n">
        <v>1972810.83182524</v>
      </c>
      <c r="W9" s="2" t="n">
        <v>206263.29</v>
      </c>
      <c r="X9" s="2" t="n">
        <v>195722</v>
      </c>
    </row>
    <row r="10" customFormat="false" ht="15" hidden="false" customHeight="false" outlineLevel="0" collapsed="false">
      <c r="A10" s="2" t="n">
        <v>9</v>
      </c>
      <c r="B10" s="2" t="n">
        <v>24</v>
      </c>
      <c r="C10" s="13" t="b">
        <f aca="false">TRUE()</f>
        <v>1</v>
      </c>
      <c r="D10" s="7" t="n">
        <v>417919</v>
      </c>
      <c r="E10" s="7" t="n">
        <v>58067765398.42</v>
      </c>
      <c r="F10" s="2" t="n">
        <v>255</v>
      </c>
      <c r="G10" s="2" t="n">
        <v>1</v>
      </c>
      <c r="H10" s="2" t="n">
        <v>230677</v>
      </c>
      <c r="I10" s="2" t="n">
        <v>384571254.76</v>
      </c>
      <c r="J10" s="2" t="n">
        <v>417664</v>
      </c>
      <c r="K10" s="2" t="n">
        <v>57683194143.66</v>
      </c>
      <c r="L10" s="7" t="n">
        <v>427698001.60785</v>
      </c>
      <c r="M10" s="2" t="n">
        <v>223054228.86462</v>
      </c>
      <c r="N10" s="7" t="n">
        <v>204643772.74323</v>
      </c>
      <c r="O10" s="7" t="n">
        <v>417628</v>
      </c>
      <c r="P10" s="2" t="n">
        <v>417129</v>
      </c>
      <c r="Q10" s="2" t="n">
        <v>499</v>
      </c>
      <c r="R10" s="2" t="n">
        <v>138945.023792697</v>
      </c>
      <c r="S10" s="8" t="n">
        <v>0.0006101660848154</v>
      </c>
      <c r="T10" s="8" t="n">
        <v>0.551965811556785</v>
      </c>
      <c r="U10" s="13" t="b">
        <f aca="false">TRUE()</f>
        <v>1</v>
      </c>
      <c r="V10" s="2" t="n">
        <v>1897075.53175909</v>
      </c>
      <c r="W10" s="2" t="n">
        <v>173883.63</v>
      </c>
      <c r="X10" s="2" t="n">
        <v>186989</v>
      </c>
    </row>
    <row r="11" customFormat="false" ht="15" hidden="false" customHeight="false" outlineLevel="0" collapsed="false">
      <c r="A11" s="2" t="n">
        <v>10</v>
      </c>
      <c r="B11" s="2" t="n">
        <v>24</v>
      </c>
      <c r="C11" s="13" t="b">
        <f aca="false">TRUE()</f>
        <v>1</v>
      </c>
      <c r="D11" s="7" t="n">
        <v>392945</v>
      </c>
      <c r="E11" s="7" t="n">
        <v>65190352177.02</v>
      </c>
      <c r="F11" s="2" t="n">
        <v>282</v>
      </c>
      <c r="G11" s="2" t="n">
        <v>0</v>
      </c>
      <c r="H11" s="2" t="n">
        <v>227726</v>
      </c>
      <c r="I11" s="2" t="n">
        <v>373060698.37</v>
      </c>
      <c r="J11" s="2" t="n">
        <v>392663</v>
      </c>
      <c r="K11" s="2" t="n">
        <v>64817291478.65</v>
      </c>
      <c r="L11" s="7" t="n">
        <v>451365739.12775</v>
      </c>
      <c r="M11" s="2" t="n">
        <v>231199489.58778</v>
      </c>
      <c r="N11" s="7" t="n">
        <v>220166249.53997</v>
      </c>
      <c r="O11" s="7" t="n">
        <v>392627</v>
      </c>
      <c r="P11" s="2" t="n">
        <v>392109</v>
      </c>
      <c r="Q11" s="2" t="n">
        <v>518</v>
      </c>
      <c r="R11" s="2" t="n">
        <v>165901.976554022</v>
      </c>
      <c r="S11" s="8" t="n">
        <v>0.0007176576874626</v>
      </c>
      <c r="T11" s="8" t="n">
        <v>0.579536576365649</v>
      </c>
      <c r="U11" s="13" t="b">
        <f aca="false">TRUE()</f>
        <v>1</v>
      </c>
      <c r="V11" s="2" t="n">
        <v>1912365.14602605</v>
      </c>
      <c r="W11" s="2" t="n">
        <v>217068.64</v>
      </c>
      <c r="X11" s="2" t="n">
        <v>164939</v>
      </c>
    </row>
    <row r="12" customFormat="false" ht="15" hidden="false" customHeight="false" outlineLevel="0" collapsed="false">
      <c r="A12" s="2" t="n">
        <v>11</v>
      </c>
      <c r="B12" s="2" t="n">
        <v>24</v>
      </c>
      <c r="C12" s="13" t="b">
        <f aca="false">TRUE()</f>
        <v>1</v>
      </c>
      <c r="D12" s="7" t="n">
        <v>417859</v>
      </c>
      <c r="E12" s="7" t="n">
        <v>60328661711.6</v>
      </c>
      <c r="F12" s="2" t="n">
        <v>262</v>
      </c>
      <c r="G12" s="2" t="n">
        <v>1</v>
      </c>
      <c r="H12" s="2" t="n">
        <v>236288</v>
      </c>
      <c r="I12" s="2" t="n">
        <v>420456884.74</v>
      </c>
      <c r="J12" s="2" t="n">
        <v>417597</v>
      </c>
      <c r="K12" s="2" t="n">
        <v>59908204826.86</v>
      </c>
      <c r="L12" s="7" t="n">
        <v>440390966.14165</v>
      </c>
      <c r="M12" s="2" t="n">
        <v>229047813.50168</v>
      </c>
      <c r="N12" s="7" t="n">
        <v>211343152.63997</v>
      </c>
      <c r="O12" s="7" t="n">
        <v>417557</v>
      </c>
      <c r="P12" s="2" t="n">
        <v>416940</v>
      </c>
      <c r="Q12" s="2" t="n">
        <v>617</v>
      </c>
      <c r="R12" s="2" t="n">
        <v>144375.642768494</v>
      </c>
      <c r="S12" s="8" t="n">
        <v>0.0006270057603162</v>
      </c>
      <c r="T12" s="8" t="n">
        <v>0.565473042342034</v>
      </c>
      <c r="U12" s="13" t="b">
        <f aca="false">TRUE()</f>
        <v>1</v>
      </c>
      <c r="V12" s="2" t="n">
        <v>1945574.97345767</v>
      </c>
      <c r="W12" s="2" t="n">
        <v>202265.52</v>
      </c>
      <c r="X12" s="2" t="n">
        <v>181310</v>
      </c>
    </row>
    <row r="13" customFormat="false" ht="15" hidden="false" customHeight="false" outlineLevel="0" collapsed="false">
      <c r="A13" s="2" t="n">
        <v>12</v>
      </c>
      <c r="B13" s="2" t="n">
        <v>24</v>
      </c>
      <c r="C13" s="13" t="b">
        <f aca="false">TRUE()</f>
        <v>1</v>
      </c>
      <c r="D13" s="7" t="n">
        <v>349776</v>
      </c>
      <c r="E13" s="7" t="n">
        <v>57988498474.36</v>
      </c>
      <c r="F13" s="2" t="n">
        <v>298</v>
      </c>
      <c r="G13" s="2" t="n">
        <v>1</v>
      </c>
      <c r="H13" s="2" t="n">
        <v>191929</v>
      </c>
      <c r="I13" s="2" t="n">
        <v>427983144.39</v>
      </c>
      <c r="J13" s="2" t="n">
        <v>349478</v>
      </c>
      <c r="K13" s="2" t="n">
        <v>57560515329.97</v>
      </c>
      <c r="L13" s="7" t="n">
        <v>329274033.5394</v>
      </c>
      <c r="M13" s="2" t="n">
        <v>171396502.25622</v>
      </c>
      <c r="N13" s="7" t="n">
        <v>157877531.28318</v>
      </c>
      <c r="O13" s="7" t="n">
        <v>349452</v>
      </c>
      <c r="P13" s="2" t="n">
        <v>348880</v>
      </c>
      <c r="Q13" s="2" t="n">
        <v>572</v>
      </c>
      <c r="R13" s="2" t="n">
        <v>165787.528230525</v>
      </c>
      <c r="S13" s="8" t="n">
        <v>0.0008519738346827</v>
      </c>
      <c r="T13" s="8" t="n">
        <v>0.548719752069896</v>
      </c>
      <c r="U13" s="13" t="b">
        <f aca="false">TRUE()</f>
        <v>1</v>
      </c>
      <c r="V13" s="2" t="n">
        <v>1912191.7784087</v>
      </c>
      <c r="W13" s="2" t="n">
        <v>156095.97</v>
      </c>
      <c r="X13" s="2" t="n">
        <v>157550</v>
      </c>
    </row>
    <row r="14" customFormat="false" ht="15" hidden="false" customHeight="false" outlineLevel="0" collapsed="false">
      <c r="A14" s="2" t="n">
        <v>13</v>
      </c>
      <c r="B14" s="2" t="n">
        <v>24</v>
      </c>
      <c r="C14" s="13" t="b">
        <f aca="false">TRUE()</f>
        <v>1</v>
      </c>
      <c r="D14" s="7" t="n">
        <v>428583</v>
      </c>
      <c r="E14" s="7" t="n">
        <v>138673068091.95</v>
      </c>
      <c r="F14" s="2" t="n">
        <v>242</v>
      </c>
      <c r="G14" s="2" t="n">
        <v>0</v>
      </c>
      <c r="H14" s="2" t="n">
        <v>252162</v>
      </c>
      <c r="I14" s="2" t="n">
        <v>424150490.42</v>
      </c>
      <c r="J14" s="2" t="n">
        <v>428341</v>
      </c>
      <c r="K14" s="2" t="n">
        <v>138248917601.53</v>
      </c>
      <c r="L14" s="7" t="n">
        <v>528798466.9397</v>
      </c>
      <c r="M14" s="2" t="n">
        <v>262535472.12862</v>
      </c>
      <c r="N14" s="7" t="n">
        <v>266262994.81108</v>
      </c>
      <c r="O14" s="7" t="n">
        <v>428296</v>
      </c>
      <c r="P14" s="2" t="n">
        <v>427532</v>
      </c>
      <c r="Q14" s="2" t="n">
        <v>764</v>
      </c>
      <c r="R14" s="2" t="n">
        <v>323561.756047137</v>
      </c>
      <c r="S14" s="8" t="n">
        <v>0.0005646514210782</v>
      </c>
      <c r="T14" s="8" t="n">
        <v>0.588362114222916</v>
      </c>
      <c r="U14" s="13" t="b">
        <f aca="false">TRUE()</f>
        <v>1</v>
      </c>
      <c r="V14" s="2" t="n">
        <v>2184894.47785292</v>
      </c>
      <c r="W14" s="2" t="n">
        <v>231440.04</v>
      </c>
      <c r="X14" s="2" t="n">
        <v>176179</v>
      </c>
    </row>
    <row r="15" customFormat="false" ht="15" hidden="false" customHeight="false" outlineLevel="0" collapsed="false">
      <c r="A15" s="2" t="n">
        <v>14</v>
      </c>
      <c r="B15" s="2" t="n">
        <v>24</v>
      </c>
      <c r="C15" s="13" t="b">
        <f aca="false">TRUE()</f>
        <v>1</v>
      </c>
      <c r="D15" s="7" t="n">
        <v>397876</v>
      </c>
      <c r="E15" s="7" t="n">
        <v>100037360294.78</v>
      </c>
      <c r="F15" s="2" t="n">
        <v>246</v>
      </c>
      <c r="G15" s="2" t="n">
        <v>0</v>
      </c>
      <c r="H15" s="2" t="n">
        <v>232707</v>
      </c>
      <c r="I15" s="2" t="n">
        <v>273871833.92</v>
      </c>
      <c r="J15" s="2" t="n">
        <v>397630</v>
      </c>
      <c r="K15" s="2" t="n">
        <v>99763488460.86</v>
      </c>
      <c r="L15" s="7" t="n">
        <v>477381360.96915</v>
      </c>
      <c r="M15" s="2" t="n">
        <v>237599134.92388</v>
      </c>
      <c r="N15" s="7" t="n">
        <v>239782226.04527</v>
      </c>
      <c r="O15" s="7" t="n">
        <v>397595</v>
      </c>
      <c r="P15" s="2" t="n">
        <v>396753</v>
      </c>
      <c r="Q15" s="2" t="n">
        <v>842</v>
      </c>
      <c r="R15" s="2" t="n">
        <v>251428.485997597</v>
      </c>
      <c r="S15" s="8" t="n">
        <v>0.0006182830831716</v>
      </c>
      <c r="T15" s="8" t="n">
        <v>0.584873176567574</v>
      </c>
      <c r="U15" s="13" t="b">
        <f aca="false">TRUE()</f>
        <v>1</v>
      </c>
      <c r="V15" s="2" t="n">
        <v>2054147.389744</v>
      </c>
      <c r="W15" s="2" t="n">
        <v>221970.75</v>
      </c>
      <c r="X15" s="2" t="n">
        <v>164923</v>
      </c>
    </row>
    <row r="16" customFormat="false" ht="15" hidden="false" customHeight="false" outlineLevel="0" collapsed="false">
      <c r="A16" s="2" t="n">
        <v>15</v>
      </c>
      <c r="B16" s="2" t="n">
        <v>24</v>
      </c>
      <c r="C16" s="13" t="b">
        <f aca="false">TRUE()</f>
        <v>1</v>
      </c>
      <c r="D16" s="7" t="n">
        <v>401282</v>
      </c>
      <c r="E16" s="7" t="n">
        <v>77472364656.07</v>
      </c>
      <c r="F16" s="2" t="n">
        <v>250</v>
      </c>
      <c r="G16" s="2" t="n">
        <v>0</v>
      </c>
      <c r="H16" s="2" t="n">
        <v>231057</v>
      </c>
      <c r="I16" s="2" t="n">
        <v>389990810.72</v>
      </c>
      <c r="J16" s="2" t="n">
        <v>401032</v>
      </c>
      <c r="K16" s="2" t="n">
        <v>77082373845.35</v>
      </c>
      <c r="L16" s="7" t="n">
        <v>462643262.35675</v>
      </c>
      <c r="M16" s="2" t="n">
        <v>232149140.41369</v>
      </c>
      <c r="N16" s="7" t="n">
        <v>230494121.94306</v>
      </c>
      <c r="O16" s="7" t="n">
        <v>401008</v>
      </c>
      <c r="P16" s="2" t="n">
        <v>400107</v>
      </c>
      <c r="Q16" s="2" t="n">
        <v>901</v>
      </c>
      <c r="R16" s="2" t="n">
        <v>193062.147457574</v>
      </c>
      <c r="S16" s="8" t="n">
        <v>0.0006230032745052</v>
      </c>
      <c r="T16" s="8" t="n">
        <v>0.575797070389402</v>
      </c>
      <c r="U16" s="13" t="b">
        <f aca="false">TRUE()</f>
        <v>1</v>
      </c>
      <c r="V16" s="2" t="n">
        <v>2098623.83663909</v>
      </c>
      <c r="W16" s="2" t="n">
        <v>210815.81</v>
      </c>
      <c r="X16" s="2" t="n">
        <v>169975</v>
      </c>
    </row>
    <row r="17" customFormat="false" ht="15" hidden="false" customHeight="false" outlineLevel="0" collapsed="false">
      <c r="A17" s="2" t="n">
        <v>16</v>
      </c>
      <c r="B17" s="2" t="n">
        <v>24</v>
      </c>
      <c r="C17" s="13" t="b">
        <f aca="false">TRUE()</f>
        <v>1</v>
      </c>
      <c r="D17" s="7" t="n">
        <v>375594</v>
      </c>
      <c r="E17" s="7" t="n">
        <v>67890541472.4</v>
      </c>
      <c r="F17" s="2" t="n">
        <v>252</v>
      </c>
      <c r="G17" s="2" t="n">
        <v>0</v>
      </c>
      <c r="H17" s="2" t="n">
        <v>214478</v>
      </c>
      <c r="I17" s="2" t="n">
        <v>335599134.8</v>
      </c>
      <c r="J17" s="2" t="n">
        <v>375342</v>
      </c>
      <c r="K17" s="2" t="n">
        <v>67554942337.6</v>
      </c>
      <c r="L17" s="7" t="n">
        <v>420967314.5577</v>
      </c>
      <c r="M17" s="2" t="n">
        <v>214706879.30725</v>
      </c>
      <c r="N17" s="7" t="n">
        <v>206260435.25045</v>
      </c>
      <c r="O17" s="7" t="n">
        <v>375309</v>
      </c>
      <c r="P17" s="2" t="n">
        <v>374457</v>
      </c>
      <c r="Q17" s="2" t="n">
        <v>852</v>
      </c>
      <c r="R17" s="2" t="n">
        <v>180755.127803959</v>
      </c>
      <c r="S17" s="8" t="n">
        <v>0.000670937235419</v>
      </c>
      <c r="T17" s="8" t="n">
        <v>0.57103681102467</v>
      </c>
      <c r="U17" s="13" t="b">
        <f aca="false">TRUE()</f>
        <v>1</v>
      </c>
      <c r="V17" s="2" t="n">
        <v>2004844.38572602</v>
      </c>
      <c r="W17" s="2" t="n">
        <v>201837.435</v>
      </c>
      <c r="X17" s="2" t="n">
        <v>160864</v>
      </c>
    </row>
    <row r="18" customFormat="false" ht="15" hidden="false" customHeight="false" outlineLevel="0" collapsed="false">
      <c r="A18" s="2" t="n">
        <v>17</v>
      </c>
      <c r="B18" s="2" t="n">
        <v>24</v>
      </c>
      <c r="C18" s="13" t="b">
        <f aca="false">TRUE()</f>
        <v>1</v>
      </c>
      <c r="D18" s="7" t="n">
        <v>425766</v>
      </c>
      <c r="E18" s="7" t="n">
        <v>74250134002.8</v>
      </c>
      <c r="F18" s="2" t="n">
        <v>320</v>
      </c>
      <c r="G18" s="2" t="n">
        <v>1</v>
      </c>
      <c r="H18" s="2" t="n">
        <v>249538</v>
      </c>
      <c r="I18" s="2" t="n">
        <v>636928450.15</v>
      </c>
      <c r="J18" s="2" t="n">
        <v>425446</v>
      </c>
      <c r="K18" s="2" t="n">
        <v>73613205552.65</v>
      </c>
      <c r="L18" s="7" t="n">
        <v>488741278.8384</v>
      </c>
      <c r="M18" s="2" t="n">
        <v>248147222.17906</v>
      </c>
      <c r="N18" s="7" t="n">
        <v>240594056.65934</v>
      </c>
      <c r="O18" s="7" t="n">
        <v>425400</v>
      </c>
      <c r="P18" s="2" t="n">
        <v>424325</v>
      </c>
      <c r="Q18" s="2" t="n">
        <v>1075</v>
      </c>
      <c r="R18" s="2" t="n">
        <v>174391.881932329</v>
      </c>
      <c r="S18" s="8" t="n">
        <v>0.0007515865522376</v>
      </c>
      <c r="T18" s="8" t="n">
        <v>0.586091890850843</v>
      </c>
      <c r="U18" s="13" t="b">
        <f aca="false">TRUE()</f>
        <v>1</v>
      </c>
      <c r="V18" s="2" t="n">
        <v>2161932.73434901</v>
      </c>
      <c r="W18" s="2" t="n">
        <v>219279.78</v>
      </c>
      <c r="X18" s="2" t="n">
        <v>175909</v>
      </c>
    </row>
    <row r="19" customFormat="false" ht="15" hidden="false" customHeight="false" outlineLevel="0" collapsed="false">
      <c r="A19" s="2" t="n">
        <v>18</v>
      </c>
      <c r="B19" s="2" t="n">
        <v>24</v>
      </c>
      <c r="C19" s="13" t="b">
        <f aca="false">TRUE()</f>
        <v>1</v>
      </c>
      <c r="D19" s="7" t="n">
        <v>20999</v>
      </c>
      <c r="E19" s="7" t="n">
        <v>3711531300.35</v>
      </c>
      <c r="F19" s="2" t="n">
        <v>268</v>
      </c>
      <c r="G19" s="2" t="n">
        <v>2</v>
      </c>
      <c r="H19" s="2" t="n">
        <v>10475</v>
      </c>
      <c r="I19" s="2" t="n">
        <v>544666009.37</v>
      </c>
      <c r="J19" s="2" t="n">
        <v>20731</v>
      </c>
      <c r="K19" s="2" t="n">
        <v>3166865290.98</v>
      </c>
      <c r="L19" s="7" t="n">
        <v>19400673.7802</v>
      </c>
      <c r="M19" s="2" t="n">
        <v>9755575.44056</v>
      </c>
      <c r="N19" s="7" t="n">
        <v>9645098.33964</v>
      </c>
      <c r="O19" s="7" t="n">
        <v>20731</v>
      </c>
      <c r="P19" s="2" t="n">
        <v>20678</v>
      </c>
      <c r="Q19" s="2" t="n">
        <v>53</v>
      </c>
      <c r="R19" s="2" t="n">
        <v>176748.002302491</v>
      </c>
      <c r="S19" s="8" t="n">
        <v>0.0127625125005952</v>
      </c>
      <c r="T19" s="8" t="n">
        <v>0.498833277775132</v>
      </c>
      <c r="U19" s="13" t="b">
        <f aca="false">FALSE()</f>
        <v>0</v>
      </c>
      <c r="V19" s="2" t="n">
        <v>1513141.41189901</v>
      </c>
      <c r="W19" s="2" t="n">
        <v>177745.015</v>
      </c>
      <c r="X19" s="2" t="n">
        <v>10258</v>
      </c>
    </row>
    <row r="20" customFormat="false" ht="15" hidden="false" customHeight="false" outlineLevel="0" collapsed="false">
      <c r="A20" s="2" t="n">
        <v>19</v>
      </c>
      <c r="B20" s="2" t="n">
        <v>24</v>
      </c>
      <c r="C20" s="13" t="b">
        <f aca="false">TRUE()</f>
        <v>1</v>
      </c>
      <c r="D20" s="7" t="n">
        <v>11300</v>
      </c>
      <c r="E20" s="7" t="n">
        <v>1936895543.14</v>
      </c>
      <c r="F20" s="2" t="n">
        <v>256</v>
      </c>
      <c r="G20" s="2" t="n">
        <v>0</v>
      </c>
      <c r="H20" s="2" t="n">
        <v>5319</v>
      </c>
      <c r="I20" s="2" t="n">
        <v>460728183.88</v>
      </c>
      <c r="J20" s="2" t="n">
        <v>11044</v>
      </c>
      <c r="K20" s="2" t="n">
        <v>1476167359.26</v>
      </c>
      <c r="L20" s="7" t="n">
        <v>9052832.35295</v>
      </c>
      <c r="M20" s="2" t="n">
        <v>4547767.05696</v>
      </c>
      <c r="N20" s="7" t="n">
        <v>4505065.29599</v>
      </c>
      <c r="O20" s="7" t="n">
        <v>11043</v>
      </c>
      <c r="P20" s="2" t="n">
        <v>11020</v>
      </c>
      <c r="Q20" s="2" t="n">
        <v>23</v>
      </c>
      <c r="R20" s="2" t="n">
        <v>171406.685233628</v>
      </c>
      <c r="S20" s="8" t="n">
        <v>0.0226548672566371</v>
      </c>
      <c r="T20" s="8" t="n">
        <v>0.47070796460177</v>
      </c>
      <c r="U20" s="13" t="b">
        <f aca="false">FALSE()</f>
        <v>0</v>
      </c>
      <c r="V20" s="2" t="n">
        <v>1556813.41420611</v>
      </c>
      <c r="W20" s="2" t="n">
        <v>163929.6</v>
      </c>
      <c r="X20" s="2" t="n">
        <v>5725</v>
      </c>
    </row>
    <row r="21" customFormat="false" ht="15" hidden="false" customHeight="false" outlineLevel="0" collapsed="false">
      <c r="A21" s="2" t="n">
        <v>20</v>
      </c>
      <c r="B21" s="2" t="n">
        <v>24</v>
      </c>
      <c r="C21" s="13" t="b">
        <f aca="false">TRUE()</f>
        <v>1</v>
      </c>
      <c r="D21" s="7" t="n">
        <v>19727</v>
      </c>
      <c r="E21" s="7" t="n">
        <v>3596373218.52</v>
      </c>
      <c r="F21" s="2" t="n">
        <v>236</v>
      </c>
      <c r="G21" s="2" t="n">
        <v>0</v>
      </c>
      <c r="H21" s="2" t="n">
        <v>10620</v>
      </c>
      <c r="I21" s="2" t="n">
        <v>276683328.7</v>
      </c>
      <c r="J21" s="2" t="n">
        <v>19491</v>
      </c>
      <c r="K21" s="2" t="n">
        <v>3319689889.82</v>
      </c>
      <c r="L21" s="7" t="n">
        <v>20086092.7698</v>
      </c>
      <c r="M21" s="2" t="n">
        <v>9973719.67057</v>
      </c>
      <c r="N21" s="7" t="n">
        <v>10112373.09923</v>
      </c>
      <c r="O21" s="7" t="n">
        <v>19491</v>
      </c>
      <c r="P21" s="2" t="n">
        <v>19444</v>
      </c>
      <c r="Q21" s="2" t="n">
        <v>47</v>
      </c>
      <c r="R21" s="2" t="n">
        <v>182307.153572261</v>
      </c>
      <c r="S21" s="8" t="n">
        <v>0.0119632990317838</v>
      </c>
      <c r="T21" s="8" t="n">
        <v>0.538348456430273</v>
      </c>
      <c r="U21" s="13" t="b">
        <f aca="false">FALSE()</f>
        <v>0</v>
      </c>
      <c r="V21" s="2" t="n">
        <v>1310533.75603427</v>
      </c>
      <c r="W21" s="2" t="n">
        <v>192670.77</v>
      </c>
      <c r="X21" s="2" t="n">
        <v>8871</v>
      </c>
    </row>
    <row r="22" customFormat="false" ht="15" hidden="false" customHeight="false" outlineLevel="0" collapsed="false">
      <c r="A22" s="2" t="n">
        <v>21</v>
      </c>
      <c r="B22" s="2" t="n">
        <v>24</v>
      </c>
      <c r="C22" s="13" t="b">
        <f aca="false">TRUE()</f>
        <v>1</v>
      </c>
      <c r="D22" s="7" t="n">
        <v>24593</v>
      </c>
      <c r="E22" s="7" t="n">
        <v>4840421321.64</v>
      </c>
      <c r="F22" s="2" t="n">
        <v>272</v>
      </c>
      <c r="G22" s="2" t="n">
        <v>0</v>
      </c>
      <c r="H22" s="2" t="n">
        <v>13363</v>
      </c>
      <c r="I22" s="2" t="n">
        <v>389222618.62</v>
      </c>
      <c r="J22" s="2" t="n">
        <v>24321</v>
      </c>
      <c r="K22" s="2" t="n">
        <v>4451198703.02</v>
      </c>
      <c r="L22" s="7" t="n">
        <v>25271907.3224</v>
      </c>
      <c r="M22" s="2" t="n">
        <v>12314729.91584</v>
      </c>
      <c r="N22" s="7" t="n">
        <v>12957177.40656</v>
      </c>
      <c r="O22" s="7" t="n">
        <v>24321</v>
      </c>
      <c r="P22" s="2" t="n">
        <v>24256</v>
      </c>
      <c r="Q22" s="2" t="n">
        <v>65</v>
      </c>
      <c r="R22" s="2" t="n">
        <v>196821.100379783</v>
      </c>
      <c r="S22" s="8" t="n">
        <v>0.0110600577400073</v>
      </c>
      <c r="T22" s="8" t="n">
        <v>0.543365998454845</v>
      </c>
      <c r="U22" s="13" t="b">
        <f aca="false">FALSE()</f>
        <v>0</v>
      </c>
      <c r="V22" s="2" t="n">
        <v>1434317.74414035</v>
      </c>
      <c r="W22" s="2" t="n">
        <v>193350.915</v>
      </c>
      <c r="X22" s="2" t="n">
        <v>10958</v>
      </c>
    </row>
    <row r="23" customFormat="false" ht="15" hidden="false" customHeight="false" outlineLevel="0" collapsed="false">
      <c r="A23" s="2" t="n">
        <v>22</v>
      </c>
      <c r="B23" s="2" t="n">
        <v>24</v>
      </c>
      <c r="C23" s="13" t="b">
        <f aca="false">TRUE()</f>
        <v>1</v>
      </c>
      <c r="D23" s="7" t="n">
        <v>53437</v>
      </c>
      <c r="E23" s="7" t="n">
        <v>9515278618.26</v>
      </c>
      <c r="F23" s="2" t="n">
        <v>256</v>
      </c>
      <c r="G23" s="2" t="n">
        <v>0</v>
      </c>
      <c r="H23" s="2" t="n">
        <v>29140</v>
      </c>
      <c r="I23" s="2" t="n">
        <v>408818642.14</v>
      </c>
      <c r="J23" s="2" t="n">
        <v>53181</v>
      </c>
      <c r="K23" s="2" t="n">
        <v>9106459976.12</v>
      </c>
      <c r="L23" s="7" t="n">
        <v>53993608.7496</v>
      </c>
      <c r="M23" s="2" t="n">
        <v>26800060.93914</v>
      </c>
      <c r="N23" s="7" t="n">
        <v>27193547.81046</v>
      </c>
      <c r="O23" s="7" t="n">
        <v>53181</v>
      </c>
      <c r="P23" s="2" t="n">
        <v>53029</v>
      </c>
      <c r="Q23" s="2" t="n">
        <v>152</v>
      </c>
      <c r="R23" s="2" t="n">
        <v>178065.35954975</v>
      </c>
      <c r="S23" s="8" t="n">
        <v>0.0047906881000056</v>
      </c>
      <c r="T23" s="8" t="n">
        <v>0.545315043883452</v>
      </c>
      <c r="U23" s="13" t="b">
        <f aca="false">FALSE()</f>
        <v>0</v>
      </c>
      <c r="V23" s="2" t="n">
        <v>1813752.48380059</v>
      </c>
      <c r="W23" s="2" t="n">
        <v>186493.35</v>
      </c>
      <c r="X23" s="2" t="n">
        <v>24041</v>
      </c>
    </row>
    <row r="24" customFormat="false" ht="15" hidden="false" customHeight="false" outlineLevel="0" collapsed="false">
      <c r="A24" s="2" t="n">
        <v>23</v>
      </c>
      <c r="B24" s="2" t="n">
        <v>24</v>
      </c>
      <c r="C24" s="13" t="b">
        <f aca="false">TRUE()</f>
        <v>1</v>
      </c>
      <c r="D24" s="7" t="n">
        <v>51012</v>
      </c>
      <c r="E24" s="7" t="n">
        <v>8194745997.95</v>
      </c>
      <c r="F24" s="2" t="n">
        <v>216</v>
      </c>
      <c r="G24" s="2" t="n">
        <v>0</v>
      </c>
      <c r="H24" s="2" t="n">
        <v>27677</v>
      </c>
      <c r="I24" s="2" t="n">
        <v>219389372</v>
      </c>
      <c r="J24" s="2" t="n">
        <v>50796</v>
      </c>
      <c r="K24" s="2" t="n">
        <v>7975356625.95</v>
      </c>
      <c r="L24" s="7" t="n">
        <v>51080577.9452</v>
      </c>
      <c r="M24" s="2" t="n">
        <v>25573976.27723</v>
      </c>
      <c r="N24" s="7" t="n">
        <v>25506601.66797</v>
      </c>
      <c r="O24" s="7" t="n">
        <v>50796</v>
      </c>
      <c r="P24" s="2" t="n">
        <v>50670</v>
      </c>
      <c r="Q24" s="2" t="n">
        <v>126</v>
      </c>
      <c r="R24" s="2" t="n">
        <v>160643.495607896</v>
      </c>
      <c r="S24" s="8" t="n">
        <v>0.0042342978122794</v>
      </c>
      <c r="T24" s="8" t="n">
        <v>0.542558613659531</v>
      </c>
      <c r="U24" s="13" t="b">
        <f aca="false">FALSE()</f>
        <v>0</v>
      </c>
      <c r="V24" s="2" t="n">
        <v>1615427.25936329</v>
      </c>
      <c r="W24" s="2" t="n">
        <v>190902.47</v>
      </c>
      <c r="X24" s="2" t="n">
        <v>23119</v>
      </c>
    </row>
    <row r="25" customFormat="false" ht="15" hidden="false" customHeight="false" outlineLevel="0" collapsed="false">
      <c r="A25" s="2" t="n">
        <v>24</v>
      </c>
      <c r="B25" s="2" t="n">
        <v>24</v>
      </c>
      <c r="C25" s="13" t="b">
        <f aca="false">TRUE()</f>
        <v>1</v>
      </c>
      <c r="D25" s="7" t="n">
        <v>32709</v>
      </c>
      <c r="E25" s="7" t="n">
        <v>5243509370.05</v>
      </c>
      <c r="F25" s="2" t="n">
        <v>280</v>
      </c>
      <c r="G25" s="2" t="n">
        <v>1</v>
      </c>
      <c r="H25" s="2" t="n">
        <v>17592</v>
      </c>
      <c r="I25" s="2" t="n">
        <v>334491241.74</v>
      </c>
      <c r="J25" s="2" t="n">
        <v>32429</v>
      </c>
      <c r="K25" s="2" t="n">
        <v>4909018128.31</v>
      </c>
      <c r="L25" s="7" t="n">
        <v>33451179.26855</v>
      </c>
      <c r="M25" s="2" t="n">
        <v>17085395.42346</v>
      </c>
      <c r="N25" s="7" t="n">
        <v>16365783.84509</v>
      </c>
      <c r="O25" s="7" t="n">
        <v>32429</v>
      </c>
      <c r="P25" s="2" t="n">
        <v>32329</v>
      </c>
      <c r="Q25" s="2" t="n">
        <v>100</v>
      </c>
      <c r="R25" s="2" t="n">
        <v>160307.847077257</v>
      </c>
      <c r="S25" s="8" t="n">
        <v>0.0085603350759729</v>
      </c>
      <c r="T25" s="8" t="n">
        <v>0.537833623773273</v>
      </c>
      <c r="U25" s="13" t="b">
        <f aca="false">FALSE()</f>
        <v>0</v>
      </c>
      <c r="V25" s="2" t="n">
        <v>1379310.19254212</v>
      </c>
      <c r="W25" s="2" t="n">
        <v>192324.23</v>
      </c>
      <c r="X25" s="2" t="n">
        <v>14838</v>
      </c>
    </row>
    <row r="26" customFormat="false" ht="15" hidden="false" customHeight="false" outlineLevel="0" collapsed="false">
      <c r="A26" s="2" t="n">
        <v>25</v>
      </c>
      <c r="B26" s="2" t="n">
        <v>24</v>
      </c>
      <c r="C26" s="13" t="b">
        <f aca="false">TRUE()</f>
        <v>1</v>
      </c>
      <c r="D26" s="7" t="n">
        <v>57853</v>
      </c>
      <c r="E26" s="7" t="n">
        <v>9177487327.86</v>
      </c>
      <c r="F26" s="2" t="n">
        <v>240</v>
      </c>
      <c r="G26" s="2" t="n">
        <v>1</v>
      </c>
      <c r="H26" s="2" t="n">
        <v>31222</v>
      </c>
      <c r="I26" s="2" t="n">
        <v>308205485.56</v>
      </c>
      <c r="J26" s="2" t="n">
        <v>57613</v>
      </c>
      <c r="K26" s="2" t="n">
        <v>8869281842.3</v>
      </c>
      <c r="L26" s="7" t="n">
        <v>57266655.4157</v>
      </c>
      <c r="M26" s="2" t="n">
        <v>29112543.55868</v>
      </c>
      <c r="N26" s="7" t="n">
        <v>28154111.85702</v>
      </c>
      <c r="O26" s="7" t="n">
        <v>57612</v>
      </c>
      <c r="P26" s="2" t="n">
        <v>57440</v>
      </c>
      <c r="Q26" s="2" t="n">
        <v>172</v>
      </c>
      <c r="R26" s="2" t="n">
        <v>158634.596785992</v>
      </c>
      <c r="S26" s="8" t="n">
        <v>0.0041484451973104</v>
      </c>
      <c r="T26" s="8" t="n">
        <v>0.539678149793442</v>
      </c>
      <c r="U26" s="13" t="b">
        <f aca="false">FALSE()</f>
        <v>0</v>
      </c>
      <c r="V26" s="2" t="n">
        <v>1334248.23984276</v>
      </c>
      <c r="W26" s="2" t="n">
        <v>185342.125</v>
      </c>
      <c r="X26" s="2" t="n">
        <v>26392</v>
      </c>
    </row>
    <row r="27" customFormat="false" ht="15" hidden="false" customHeight="false" outlineLevel="0" collapsed="false">
      <c r="A27" s="2" t="n">
        <v>26</v>
      </c>
      <c r="B27" s="2" t="n">
        <v>24</v>
      </c>
      <c r="C27" s="13" t="b">
        <f aca="false">TRUE()</f>
        <v>1</v>
      </c>
      <c r="D27" s="7" t="n">
        <v>13885</v>
      </c>
      <c r="E27" s="7" t="n">
        <v>2228709706.33</v>
      </c>
      <c r="F27" s="2" t="n">
        <v>272</v>
      </c>
      <c r="G27" s="2" t="n">
        <v>1</v>
      </c>
      <c r="H27" s="2" t="n">
        <v>6797</v>
      </c>
      <c r="I27" s="2" t="n">
        <v>395936994.59</v>
      </c>
      <c r="J27" s="2" t="n">
        <v>13613</v>
      </c>
      <c r="K27" s="2" t="n">
        <v>1832772711.74</v>
      </c>
      <c r="L27" s="7" t="n">
        <v>11349555.41815</v>
      </c>
      <c r="M27" s="2" t="n">
        <v>5804557.17369</v>
      </c>
      <c r="N27" s="7" t="n">
        <v>5544998.24446</v>
      </c>
      <c r="O27" s="7" t="n">
        <v>13613</v>
      </c>
      <c r="P27" s="2" t="n">
        <v>13570</v>
      </c>
      <c r="Q27" s="2" t="n">
        <v>43</v>
      </c>
      <c r="R27" s="2" t="n">
        <v>160512.042227584</v>
      </c>
      <c r="S27" s="8" t="n">
        <v>0.0195894850558156</v>
      </c>
      <c r="T27" s="8" t="n">
        <v>0.489521065898452</v>
      </c>
      <c r="U27" s="13" t="b">
        <f aca="false">FALSE()</f>
        <v>0</v>
      </c>
      <c r="V27" s="2" t="n">
        <v>1513005.52030512</v>
      </c>
      <c r="W27" s="2" t="n">
        <v>166185.12</v>
      </c>
      <c r="X27" s="2" t="n">
        <v>6817</v>
      </c>
    </row>
    <row r="28" customFormat="false" ht="15" hidden="false" customHeight="false" outlineLevel="0" collapsed="false">
      <c r="A28" s="2" t="n">
        <v>27</v>
      </c>
      <c r="B28" s="2" t="n">
        <v>24</v>
      </c>
      <c r="C28" s="13" t="b">
        <f aca="false">TRUE()</f>
        <v>1</v>
      </c>
      <c r="D28" s="7" t="n">
        <v>8578</v>
      </c>
      <c r="E28" s="7" t="n">
        <v>1756268796.76</v>
      </c>
      <c r="F28" s="2" t="n">
        <v>280</v>
      </c>
      <c r="G28" s="2" t="n">
        <v>2</v>
      </c>
      <c r="H28" s="2" t="n">
        <v>4351</v>
      </c>
      <c r="I28" s="2" t="n">
        <v>437595788.12</v>
      </c>
      <c r="J28" s="2" t="n">
        <v>8298</v>
      </c>
      <c r="K28" s="2" t="n">
        <v>1318673008.64</v>
      </c>
      <c r="L28" s="7" t="n">
        <v>8737933.4332</v>
      </c>
      <c r="M28" s="2" t="n">
        <v>4493904.91964</v>
      </c>
      <c r="N28" s="7" t="n">
        <v>4244028.51356</v>
      </c>
      <c r="O28" s="7" t="n">
        <v>8298</v>
      </c>
      <c r="P28" s="2" t="n">
        <v>8274</v>
      </c>
      <c r="Q28" s="2" t="n">
        <v>24</v>
      </c>
      <c r="R28" s="2" t="n">
        <v>204741.05814409</v>
      </c>
      <c r="S28" s="8" t="n">
        <v>0.0326416414082536</v>
      </c>
      <c r="T28" s="8" t="n">
        <v>0.507227792026113</v>
      </c>
      <c r="U28" s="13" t="b">
        <f aca="false">FALSE()</f>
        <v>0</v>
      </c>
      <c r="V28" s="2" t="n">
        <v>1349350.9795062</v>
      </c>
      <c r="W28" s="2" t="n">
        <v>203209.27</v>
      </c>
      <c r="X28" s="2" t="n">
        <v>3949</v>
      </c>
    </row>
    <row r="29" customFormat="false" ht="15" hidden="false" customHeight="false" outlineLevel="0" collapsed="false">
      <c r="A29" s="2" t="n">
        <v>28</v>
      </c>
      <c r="B29" s="2" t="n">
        <v>24</v>
      </c>
      <c r="C29" s="13" t="b">
        <f aca="false">TRUE()</f>
        <v>1</v>
      </c>
      <c r="D29" s="7" t="n">
        <v>14661</v>
      </c>
      <c r="E29" s="7" t="n">
        <v>3006718037.76</v>
      </c>
      <c r="F29" s="2" t="n">
        <v>248</v>
      </c>
      <c r="G29" s="2" t="n">
        <v>1</v>
      </c>
      <c r="H29" s="2" t="n">
        <v>7353</v>
      </c>
      <c r="I29" s="2" t="n">
        <v>377872026.36</v>
      </c>
      <c r="J29" s="2" t="n">
        <v>14413</v>
      </c>
      <c r="K29" s="2" t="n">
        <v>2628846011.4</v>
      </c>
      <c r="L29" s="7" t="n">
        <v>14247450.17985</v>
      </c>
      <c r="M29" s="2" t="n">
        <v>7092739.02492</v>
      </c>
      <c r="N29" s="7" t="n">
        <v>7154711.15493</v>
      </c>
      <c r="O29" s="7" t="n">
        <v>14413</v>
      </c>
      <c r="P29" s="2" t="n">
        <v>14383</v>
      </c>
      <c r="Q29" s="2" t="n">
        <v>30</v>
      </c>
      <c r="R29" s="2" t="n">
        <v>205082.739087375</v>
      </c>
      <c r="S29" s="8" t="n">
        <v>0.0169156264920537</v>
      </c>
      <c r="T29" s="8" t="n">
        <v>0.501534683855126</v>
      </c>
      <c r="U29" s="13" t="b">
        <f aca="false">FALSE()</f>
        <v>0</v>
      </c>
      <c r="V29" s="2" t="n">
        <v>1476203.92700184</v>
      </c>
      <c r="W29" s="2" t="n">
        <v>201645.54</v>
      </c>
      <c r="X29" s="2" t="n">
        <v>7061</v>
      </c>
    </row>
    <row r="30" customFormat="false" ht="15" hidden="false" customHeight="false" outlineLevel="0" collapsed="false">
      <c r="A30" s="2" t="n">
        <v>29</v>
      </c>
      <c r="B30" s="2" t="n">
        <v>24</v>
      </c>
      <c r="C30" s="13" t="b">
        <f aca="false">TRUE()</f>
        <v>1</v>
      </c>
      <c r="D30" s="7" t="n">
        <v>54890</v>
      </c>
      <c r="E30" s="7" t="n">
        <v>9357636452.07</v>
      </c>
      <c r="F30" s="2" t="n">
        <v>260</v>
      </c>
      <c r="G30" s="2" t="n">
        <v>0</v>
      </c>
      <c r="H30" s="2" t="n">
        <v>29920</v>
      </c>
      <c r="I30" s="2" t="n">
        <v>501946774.66</v>
      </c>
      <c r="J30" s="2" t="n">
        <v>54630</v>
      </c>
      <c r="K30" s="2" t="n">
        <v>8855689677.41</v>
      </c>
      <c r="L30" s="7" t="n">
        <v>56887049.93245</v>
      </c>
      <c r="M30" s="2" t="n">
        <v>28829876.5459</v>
      </c>
      <c r="N30" s="7" t="n">
        <v>28057173.38655</v>
      </c>
      <c r="O30" s="7" t="n">
        <v>54629</v>
      </c>
      <c r="P30" s="2" t="n">
        <v>54483</v>
      </c>
      <c r="Q30" s="2" t="n">
        <v>146</v>
      </c>
      <c r="R30" s="2" t="n">
        <v>170479.804191474</v>
      </c>
      <c r="S30" s="8" t="n">
        <v>0.0047367462197121</v>
      </c>
      <c r="T30" s="8" t="n">
        <v>0.545090180360721</v>
      </c>
      <c r="U30" s="13" t="b">
        <f aca="false">FALSE()</f>
        <v>0</v>
      </c>
      <c r="V30" s="2" t="n">
        <v>1453534.60474949</v>
      </c>
      <c r="W30" s="2" t="n">
        <v>199925.235</v>
      </c>
      <c r="X30" s="2" t="n">
        <v>24710</v>
      </c>
    </row>
    <row r="31" customFormat="false" ht="15" hidden="false" customHeight="false" outlineLevel="0" collapsed="false">
      <c r="A31" s="2" t="n">
        <v>30</v>
      </c>
      <c r="B31" s="2" t="n">
        <v>24</v>
      </c>
      <c r="C31" s="13" t="b">
        <f aca="false">TRUE()</f>
        <v>1</v>
      </c>
      <c r="D31" s="7" t="n">
        <v>11287</v>
      </c>
      <c r="E31" s="7" t="n">
        <v>1995900406.17</v>
      </c>
      <c r="F31" s="2" t="n">
        <v>268</v>
      </c>
      <c r="G31" s="2" t="n">
        <v>1</v>
      </c>
      <c r="H31" s="2" t="n">
        <v>5480</v>
      </c>
      <c r="I31" s="2" t="n">
        <v>497002529.51</v>
      </c>
      <c r="J31" s="2" t="n">
        <v>11019</v>
      </c>
      <c r="K31" s="2" t="n">
        <v>1498897876.66</v>
      </c>
      <c r="L31" s="7" t="n">
        <v>11708099.1049</v>
      </c>
      <c r="M31" s="2" t="n">
        <v>6204011.48508</v>
      </c>
      <c r="N31" s="7" t="n">
        <v>5504087.61982</v>
      </c>
      <c r="O31" s="7" t="n">
        <v>11019</v>
      </c>
      <c r="P31" s="2" t="n">
        <v>10992</v>
      </c>
      <c r="Q31" s="2" t="n">
        <v>27</v>
      </c>
      <c r="R31" s="2" t="n">
        <v>176831.789330203</v>
      </c>
      <c r="S31" s="8" t="n">
        <v>0.0237441304155222</v>
      </c>
      <c r="T31" s="8" t="n">
        <v>0.4855143084965</v>
      </c>
      <c r="U31" s="13" t="b">
        <f aca="false">FALSE()</f>
        <v>0</v>
      </c>
      <c r="V31" s="2" t="n">
        <v>488327.176220217</v>
      </c>
      <c r="W31" s="2" t="n">
        <v>107950.225</v>
      </c>
      <c r="X31" s="2" t="n">
        <v>5540</v>
      </c>
    </row>
    <row r="32" customFormat="false" ht="15" hidden="false" customHeight="false" outlineLevel="0" collapsed="false">
      <c r="A32" s="2" t="n">
        <v>31</v>
      </c>
      <c r="B32" s="2" t="n">
        <v>23</v>
      </c>
      <c r="C32" s="13" t="b">
        <f aca="false">FALSE()</f>
        <v>0</v>
      </c>
      <c r="D32" s="7" t="n">
        <v>272</v>
      </c>
      <c r="E32" s="7" t="n">
        <v>448086234.84</v>
      </c>
      <c r="F32" s="2" t="n">
        <v>272</v>
      </c>
      <c r="G32" s="2" t="n">
        <v>3</v>
      </c>
      <c r="H32" s="2" t="n">
        <v>3</v>
      </c>
      <c r="I32" s="2" t="n">
        <v>448086234.84</v>
      </c>
      <c r="J32" s="2" t="n">
        <v>0</v>
      </c>
      <c r="K32" s="2" t="n">
        <v>0</v>
      </c>
      <c r="L32" s="7" t="n">
        <v>0</v>
      </c>
      <c r="M32" s="2" t="n">
        <v>0</v>
      </c>
      <c r="N32" s="7" t="n">
        <v>0</v>
      </c>
      <c r="O32" s="7" t="n">
        <v>0</v>
      </c>
      <c r="P32" s="2" t="n">
        <v>0</v>
      </c>
      <c r="Q32" s="2" t="n">
        <v>0</v>
      </c>
      <c r="R32" s="2" t="n">
        <v>1647375.86338235</v>
      </c>
      <c r="S32" s="8" t="n">
        <v>1</v>
      </c>
      <c r="T32" s="8" t="n">
        <v>0.0110294117647058</v>
      </c>
      <c r="U32" s="13" t="b">
        <f aca="false">FALSE()</f>
        <v>0</v>
      </c>
      <c r="V32" s="2"/>
      <c r="W32" s="2"/>
      <c r="X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7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5" min="13" style="0" width="14"/>
    <col collapsed="false" customWidth="true" hidden="false" outlineLevel="0" max="17" min="16" style="0" width="19"/>
    <col collapsed="false" customWidth="true" hidden="false" outlineLevel="0" max="18" min="18" style="0" width="23"/>
    <col collapsed="false" customWidth="true" hidden="false" outlineLevel="0" max="20" min="19" style="0" width="30"/>
  </cols>
  <sheetData>
    <row r="1" customFormat="false" ht="15" hidden="false" customHeight="false" outlineLevel="0" collapsed="false">
      <c r="A1" s="11" t="s">
        <v>8</v>
      </c>
      <c r="B1" s="11" t="s">
        <v>50</v>
      </c>
      <c r="C1" s="11" t="s">
        <v>51</v>
      </c>
      <c r="D1" s="11" t="s">
        <v>23</v>
      </c>
      <c r="E1" s="11" t="s">
        <v>52</v>
      </c>
      <c r="F1" s="11" t="s">
        <v>55</v>
      </c>
      <c r="G1" s="11" t="s">
        <v>91</v>
      </c>
      <c r="H1" s="11" t="s">
        <v>56</v>
      </c>
      <c r="I1" s="11" t="s">
        <v>92</v>
      </c>
      <c r="J1" s="11" t="s">
        <v>22</v>
      </c>
      <c r="K1" s="11" t="s">
        <v>93</v>
      </c>
      <c r="L1" s="11" t="s">
        <v>26</v>
      </c>
      <c r="M1" s="11" t="s">
        <v>94</v>
      </c>
      <c r="N1" s="11" t="s">
        <v>102</v>
      </c>
      <c r="O1" s="11" t="s">
        <v>103</v>
      </c>
      <c r="P1" s="11" t="s">
        <v>57</v>
      </c>
      <c r="Q1" s="11" t="s">
        <v>58</v>
      </c>
      <c r="R1" s="11" t="s">
        <v>61</v>
      </c>
      <c r="S1" s="11" t="s">
        <v>80</v>
      </c>
      <c r="T1" s="11" t="s">
        <v>104</v>
      </c>
    </row>
    <row r="2" customFormat="false" ht="15" hidden="false" customHeight="false" outlineLevel="0" collapsed="false">
      <c r="A2" s="2" t="s">
        <v>12</v>
      </c>
      <c r="B2" s="2" t="n">
        <v>1399284</v>
      </c>
      <c r="C2" s="7" t="n">
        <v>236367391912.46</v>
      </c>
      <c r="D2" s="7" t="n">
        <v>168920.242004096</v>
      </c>
      <c r="E2" s="2" t="n">
        <v>143427.71</v>
      </c>
      <c r="F2" s="2" t="n">
        <v>0</v>
      </c>
      <c r="G2" s="2" t="n">
        <v>33</v>
      </c>
      <c r="H2" s="2" t="n">
        <v>0</v>
      </c>
      <c r="I2" s="2" t="n">
        <v>1399284</v>
      </c>
      <c r="J2" s="2" t="n">
        <v>236367391912.46</v>
      </c>
      <c r="K2" s="2" t="n">
        <v>0</v>
      </c>
      <c r="L2" s="2" t="n">
        <v>0</v>
      </c>
      <c r="M2" s="2" t="n">
        <v>0</v>
      </c>
      <c r="N2" s="14" t="n">
        <v>0.219922610496934</v>
      </c>
      <c r="O2" s="14" t="n">
        <v>0.206543908711424</v>
      </c>
      <c r="P2" s="8" t="n">
        <v>0</v>
      </c>
      <c r="Q2" s="2" t="n">
        <v>0</v>
      </c>
      <c r="R2" s="14" t="n">
        <v>2.35834898419477E-005</v>
      </c>
      <c r="S2" s="2" t="n">
        <v>0</v>
      </c>
      <c r="T2" s="2" t="n">
        <v>0</v>
      </c>
    </row>
    <row r="3" customFormat="false" ht="15" hidden="false" customHeight="false" outlineLevel="0" collapsed="false">
      <c r="A3" s="2" t="s">
        <v>13</v>
      </c>
      <c r="B3" s="2" t="n">
        <v>2237500</v>
      </c>
      <c r="C3" s="7" t="n">
        <v>394412995224.49</v>
      </c>
      <c r="D3" s="7" t="n">
        <v>176273.964346141</v>
      </c>
      <c r="E3" s="2" t="n">
        <v>147072.185</v>
      </c>
      <c r="F3" s="2" t="n">
        <v>4116</v>
      </c>
      <c r="G3" s="2" t="n">
        <v>1981123</v>
      </c>
      <c r="H3" s="2" t="n">
        <v>5989202243.83</v>
      </c>
      <c r="I3" s="2" t="n">
        <v>2233384</v>
      </c>
      <c r="J3" s="2" t="n">
        <v>388423792980.66</v>
      </c>
      <c r="K3" s="2" t="n">
        <v>5420455890.6444</v>
      </c>
      <c r="L3" s="2" t="n">
        <v>3252273534.38664</v>
      </c>
      <c r="M3" s="2" t="n">
        <v>2168182356.25776</v>
      </c>
      <c r="N3" s="14" t="n">
        <v>0.351663308511274</v>
      </c>
      <c r="O3" s="14" t="n">
        <v>0.344648223348917</v>
      </c>
      <c r="P3" s="8" t="n">
        <v>0.0018395530726256</v>
      </c>
      <c r="Q3" s="2" t="n">
        <v>0.0151851037271758</v>
      </c>
      <c r="R3" s="14" t="n">
        <v>0.885418100558659</v>
      </c>
      <c r="S3" s="2" t="n">
        <v>2427.01474114814</v>
      </c>
      <c r="T3" s="2" t="n">
        <v>0.0139550047875524</v>
      </c>
    </row>
    <row r="4" customFormat="false" ht="15" hidden="false" customHeight="false" outlineLevel="0" collapsed="false">
      <c r="A4" s="2" t="s">
        <v>16</v>
      </c>
      <c r="B4" s="2" t="n">
        <v>41432</v>
      </c>
      <c r="C4" s="7" t="n">
        <v>227199221.28</v>
      </c>
      <c r="D4" s="7" t="n">
        <v>5483.66531376714</v>
      </c>
      <c r="E4" s="2" t="n">
        <v>3048.99</v>
      </c>
      <c r="F4" s="2" t="n">
        <v>0</v>
      </c>
      <c r="G4" s="2" t="n">
        <v>11786</v>
      </c>
      <c r="H4" s="2" t="n">
        <v>0</v>
      </c>
      <c r="I4" s="2" t="n">
        <v>41432</v>
      </c>
      <c r="J4" s="2" t="n">
        <v>227199221.28</v>
      </c>
      <c r="K4" s="2" t="n">
        <v>1135996.1064</v>
      </c>
      <c r="L4" s="2" t="n">
        <v>454398.44256</v>
      </c>
      <c r="M4" s="2" t="n">
        <v>681597.66384</v>
      </c>
      <c r="N4" s="14" t="n">
        <v>0.0065117828818945</v>
      </c>
      <c r="O4" s="14" t="n">
        <v>0.0001985325253186</v>
      </c>
      <c r="P4" s="8" t="n">
        <v>0</v>
      </c>
      <c r="Q4" s="2" t="n">
        <v>0</v>
      </c>
      <c r="R4" s="14" t="n">
        <v>0.284466113149257</v>
      </c>
      <c r="S4" s="2" t="n">
        <v>27.4183265688357</v>
      </c>
      <c r="T4" s="2" t="n">
        <v>0.005</v>
      </c>
    </row>
    <row r="5" customFormat="false" ht="15" hidden="false" customHeight="false" outlineLevel="0" collapsed="false">
      <c r="A5" s="2" t="s">
        <v>15</v>
      </c>
      <c r="B5" s="2" t="n">
        <v>2151495</v>
      </c>
      <c r="C5" s="7" t="n">
        <v>28093371138.37</v>
      </c>
      <c r="D5" s="7" t="n">
        <v>13057.6046601875</v>
      </c>
      <c r="E5" s="2" t="n">
        <v>9482.19</v>
      </c>
      <c r="F5" s="2" t="n">
        <v>0</v>
      </c>
      <c r="G5" s="2" t="n">
        <v>1101124</v>
      </c>
      <c r="H5" s="2" t="n">
        <v>0</v>
      </c>
      <c r="I5" s="2" t="n">
        <v>2151495</v>
      </c>
      <c r="J5" s="2" t="n">
        <v>28093371138.37</v>
      </c>
      <c r="K5" s="2" t="n">
        <v>280933711.3837</v>
      </c>
      <c r="L5" s="2" t="n">
        <v>112373484.55348</v>
      </c>
      <c r="M5" s="2" t="n">
        <v>168560226.83022</v>
      </c>
      <c r="N5" s="14" t="n">
        <v>0.338146078187916</v>
      </c>
      <c r="O5" s="14" t="n">
        <v>0.0245487105342713</v>
      </c>
      <c r="P5" s="8" t="n">
        <v>0</v>
      </c>
      <c r="Q5" s="2" t="n">
        <v>0</v>
      </c>
      <c r="R5" s="14" t="n">
        <v>0.511794821740232</v>
      </c>
      <c r="S5" s="2" t="n">
        <v>130.576046601875</v>
      </c>
      <c r="T5" s="2" t="n">
        <v>0.01</v>
      </c>
    </row>
    <row r="6" customFormat="false" ht="15" hidden="false" customHeight="false" outlineLevel="0" collapsed="false">
      <c r="A6" s="2" t="s">
        <v>14</v>
      </c>
      <c r="B6" s="2" t="n">
        <v>532909</v>
      </c>
      <c r="C6" s="7" t="n">
        <v>485291987263.17</v>
      </c>
      <c r="D6" s="7" t="n">
        <v>910647.009645493</v>
      </c>
      <c r="E6" s="2" t="n">
        <v>486308.39</v>
      </c>
      <c r="F6" s="2" t="n">
        <v>4097</v>
      </c>
      <c r="G6" s="2" t="n">
        <v>507529</v>
      </c>
      <c r="H6" s="2" t="n">
        <v>6067213184.01</v>
      </c>
      <c r="I6" s="2" t="n">
        <v>528812</v>
      </c>
      <c r="J6" s="2" t="n">
        <v>479224774079.16</v>
      </c>
      <c r="K6" s="2" t="n">
        <v>1419864889.9367</v>
      </c>
      <c r="L6" s="2" t="n">
        <v>283972977.98734</v>
      </c>
      <c r="M6" s="2" t="n">
        <v>1135891911.94936</v>
      </c>
      <c r="N6" s="14" t="n">
        <v>0.0837562199219818</v>
      </c>
      <c r="O6" s="14" t="n">
        <v>0.424060624880069</v>
      </c>
      <c r="P6" s="8" t="n">
        <v>0.0076879917584428</v>
      </c>
      <c r="Q6" s="2" t="n">
        <v>0.0125021911411032</v>
      </c>
      <c r="R6" s="14" t="n">
        <v>0.952374608047528</v>
      </c>
      <c r="S6" s="2" t="n">
        <v>2685.00883099608</v>
      </c>
      <c r="T6" s="2" t="n">
        <v>0.0029628369957813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1" t="s">
        <v>105</v>
      </c>
      <c r="B1" s="11" t="s">
        <v>50</v>
      </c>
      <c r="C1" s="11" t="s">
        <v>51</v>
      </c>
      <c r="D1" s="11" t="s">
        <v>55</v>
      </c>
      <c r="E1" s="11" t="s">
        <v>57</v>
      </c>
    </row>
    <row r="2" customFormat="false" ht="15" hidden="false" customHeight="false" outlineLevel="0" collapsed="false">
      <c r="A2" s="2" t="n">
        <v>0</v>
      </c>
      <c r="B2" s="2" t="n">
        <v>27111</v>
      </c>
      <c r="C2" s="2" t="n">
        <v>3200401133.58</v>
      </c>
      <c r="D2" s="2" t="n">
        <v>358</v>
      </c>
      <c r="E2" s="8" t="n">
        <v>0.0132049721515252</v>
      </c>
    </row>
    <row r="3" customFormat="false" ht="15" hidden="false" customHeight="false" outlineLevel="0" collapsed="false">
      <c r="A3" s="2" t="n">
        <v>1</v>
      </c>
      <c r="B3" s="2" t="n">
        <v>9018</v>
      </c>
      <c r="C3" s="2" t="n">
        <v>1555136461.33</v>
      </c>
      <c r="D3" s="2" t="n">
        <v>372</v>
      </c>
      <c r="E3" s="8" t="n">
        <v>0.0412508316699933</v>
      </c>
    </row>
    <row r="4" customFormat="false" ht="15" hidden="false" customHeight="false" outlineLevel="0" collapsed="false">
      <c r="A4" s="2" t="n">
        <v>2</v>
      </c>
      <c r="B4" s="2" t="n">
        <v>2007</v>
      </c>
      <c r="C4" s="2" t="n">
        <v>917807529.16</v>
      </c>
      <c r="D4" s="2" t="n">
        <v>326</v>
      </c>
      <c r="E4" s="8" t="n">
        <v>0.16243148978575</v>
      </c>
    </row>
    <row r="5" customFormat="false" ht="15" hidden="false" customHeight="false" outlineLevel="0" collapsed="false">
      <c r="A5" s="2" t="n">
        <v>3</v>
      </c>
      <c r="B5" s="2" t="n">
        <v>1241</v>
      </c>
      <c r="C5" s="2" t="n">
        <v>452670433.94</v>
      </c>
      <c r="D5" s="2" t="n">
        <v>274</v>
      </c>
      <c r="E5" s="8" t="n">
        <v>0.220789685737309</v>
      </c>
    </row>
    <row r="6" customFormat="false" ht="15" hidden="false" customHeight="false" outlineLevel="0" collapsed="false">
      <c r="A6" s="2" t="n">
        <v>4</v>
      </c>
      <c r="B6" s="2" t="n">
        <v>1641</v>
      </c>
      <c r="C6" s="2" t="n">
        <v>637355461.27</v>
      </c>
      <c r="D6" s="2" t="n">
        <v>366</v>
      </c>
      <c r="E6" s="8" t="n">
        <v>0.223034734917733</v>
      </c>
    </row>
    <row r="7" customFormat="false" ht="15" hidden="false" customHeight="false" outlineLevel="0" collapsed="false">
      <c r="A7" s="2" t="n">
        <v>5</v>
      </c>
      <c r="B7" s="2" t="n">
        <v>3420</v>
      </c>
      <c r="C7" s="2" t="n">
        <v>733140777.32</v>
      </c>
      <c r="D7" s="2" t="n">
        <v>358</v>
      </c>
      <c r="E7" s="8" t="n">
        <v>0.104678362573099</v>
      </c>
    </row>
    <row r="8" customFormat="false" ht="15" hidden="false" customHeight="false" outlineLevel="0" collapsed="false">
      <c r="A8" s="2" t="n">
        <v>6</v>
      </c>
      <c r="B8" s="2" t="n">
        <v>8988</v>
      </c>
      <c r="C8" s="2" t="n">
        <v>1342656886.21</v>
      </c>
      <c r="D8" s="2" t="n">
        <v>328</v>
      </c>
      <c r="E8" s="8" t="n">
        <v>0.0364931019136626</v>
      </c>
    </row>
    <row r="9" customFormat="false" ht="15" hidden="false" customHeight="false" outlineLevel="0" collapsed="false">
      <c r="A9" s="2" t="n">
        <v>7</v>
      </c>
      <c r="B9" s="2" t="n">
        <v>26915</v>
      </c>
      <c r="C9" s="2" t="n">
        <v>4771771726.72</v>
      </c>
      <c r="D9" s="2" t="n">
        <v>368</v>
      </c>
      <c r="E9" s="8" t="n">
        <v>0.0136726732305405</v>
      </c>
    </row>
    <row r="10" customFormat="false" ht="15" hidden="false" customHeight="false" outlineLevel="0" collapsed="false">
      <c r="A10" s="2" t="n">
        <v>8</v>
      </c>
      <c r="B10" s="2" t="n">
        <v>283518</v>
      </c>
      <c r="C10" s="2" t="n">
        <v>57230312371.27</v>
      </c>
      <c r="D10" s="2" t="n">
        <v>341</v>
      </c>
      <c r="E10" s="8" t="n">
        <v>0.0012027455046945</v>
      </c>
    </row>
    <row r="11" customFormat="false" ht="15" hidden="false" customHeight="false" outlineLevel="0" collapsed="false">
      <c r="A11" s="2" t="n">
        <v>9</v>
      </c>
      <c r="B11" s="2" t="n">
        <v>425729</v>
      </c>
      <c r="C11" s="2" t="n">
        <v>90728860570.56</v>
      </c>
      <c r="D11" s="2" t="n">
        <v>375</v>
      </c>
      <c r="E11" s="8" t="n">
        <v>0.00088084203801</v>
      </c>
    </row>
    <row r="12" customFormat="false" ht="15" hidden="false" customHeight="false" outlineLevel="0" collapsed="false">
      <c r="A12" s="2" t="n">
        <v>10</v>
      </c>
      <c r="B12" s="2" t="n">
        <v>445992</v>
      </c>
      <c r="C12" s="2" t="n">
        <v>86836289140.77</v>
      </c>
      <c r="D12" s="2" t="n">
        <v>324</v>
      </c>
      <c r="E12" s="8" t="n">
        <v>0.0007264704299628</v>
      </c>
    </row>
    <row r="13" customFormat="false" ht="15" hidden="false" customHeight="false" outlineLevel="0" collapsed="false">
      <c r="A13" s="2" t="n">
        <v>11</v>
      </c>
      <c r="B13" s="2" t="n">
        <v>483418</v>
      </c>
      <c r="C13" s="2" t="n">
        <v>95365234623.53</v>
      </c>
      <c r="D13" s="2" t="n">
        <v>339</v>
      </c>
      <c r="E13" s="8" t="n">
        <v>0.0007012564695563</v>
      </c>
    </row>
    <row r="14" customFormat="false" ht="15" hidden="false" customHeight="false" outlineLevel="0" collapsed="false">
      <c r="A14" s="2" t="n">
        <v>12</v>
      </c>
      <c r="B14" s="2" t="n">
        <v>468474</v>
      </c>
      <c r="C14" s="2" t="n">
        <v>89606322363.92</v>
      </c>
      <c r="D14" s="2" t="n">
        <v>346</v>
      </c>
      <c r="E14" s="8" t="n">
        <v>0.0007385682022908</v>
      </c>
    </row>
    <row r="15" customFormat="false" ht="15" hidden="false" customHeight="false" outlineLevel="0" collapsed="false">
      <c r="A15" s="2" t="n">
        <v>13</v>
      </c>
      <c r="B15" s="2" t="n">
        <v>439653</v>
      </c>
      <c r="C15" s="2" t="n">
        <v>83019857921.19</v>
      </c>
      <c r="D15" s="2" t="n">
        <v>353</v>
      </c>
      <c r="E15" s="8" t="n">
        <v>0.0008029059280841</v>
      </c>
    </row>
    <row r="16" customFormat="false" ht="15" hidden="false" customHeight="false" outlineLevel="0" collapsed="false">
      <c r="A16" s="2" t="n">
        <v>14</v>
      </c>
      <c r="B16" s="2" t="n">
        <v>416686</v>
      </c>
      <c r="C16" s="2" t="n">
        <v>88134439201.48</v>
      </c>
      <c r="D16" s="2" t="n">
        <v>341</v>
      </c>
      <c r="E16" s="8" t="n">
        <v>0.0008183620280019</v>
      </c>
    </row>
    <row r="17" customFormat="false" ht="15" hidden="false" customHeight="false" outlineLevel="0" collapsed="false">
      <c r="A17" s="2" t="n">
        <v>15</v>
      </c>
      <c r="B17" s="2" t="n">
        <v>441612</v>
      </c>
      <c r="C17" s="2" t="n">
        <v>103510274373.14</v>
      </c>
      <c r="D17" s="2" t="n">
        <v>345</v>
      </c>
      <c r="E17" s="8" t="n">
        <v>0.0007812287709573</v>
      </c>
    </row>
    <row r="18" customFormat="false" ht="15" hidden="false" customHeight="false" outlineLevel="0" collapsed="false">
      <c r="A18" s="2" t="n">
        <v>16</v>
      </c>
      <c r="B18" s="2" t="n">
        <v>439941</v>
      </c>
      <c r="C18" s="2" t="n">
        <v>86449998969.93</v>
      </c>
      <c r="D18" s="2" t="n">
        <v>353</v>
      </c>
      <c r="E18" s="8" t="n">
        <v>0.0008023803191791</v>
      </c>
    </row>
    <row r="19" customFormat="false" ht="15" hidden="false" customHeight="false" outlineLevel="0" collapsed="false">
      <c r="A19" s="2" t="n">
        <v>17</v>
      </c>
      <c r="B19" s="2" t="n">
        <v>580509</v>
      </c>
      <c r="C19" s="2" t="n">
        <v>90907288926.9</v>
      </c>
      <c r="D19" s="2" t="n">
        <v>343</v>
      </c>
      <c r="E19" s="8" t="n">
        <v>0.0005908607790749</v>
      </c>
    </row>
    <row r="20" customFormat="false" ht="15" hidden="false" customHeight="false" outlineLevel="0" collapsed="false">
      <c r="A20" s="2" t="n">
        <v>18</v>
      </c>
      <c r="B20" s="2" t="n">
        <v>647814</v>
      </c>
      <c r="C20" s="2" t="n">
        <v>96483920076.5</v>
      </c>
      <c r="D20" s="2" t="n">
        <v>342</v>
      </c>
      <c r="E20" s="8" t="n">
        <v>0.0005279293130435</v>
      </c>
    </row>
    <row r="21" customFormat="false" ht="15" hidden="false" customHeight="false" outlineLevel="0" collapsed="false">
      <c r="A21" s="2" t="n">
        <v>19</v>
      </c>
      <c r="B21" s="2" t="n">
        <v>553728</v>
      </c>
      <c r="C21" s="2" t="n">
        <v>74928896033.23</v>
      </c>
      <c r="D21" s="2" t="n">
        <v>340</v>
      </c>
      <c r="E21" s="8" t="n">
        <v>0.0006140198797965</v>
      </c>
    </row>
    <row r="22" customFormat="false" ht="15" hidden="false" customHeight="false" outlineLevel="0" collapsed="false">
      <c r="A22" s="2" t="n">
        <v>20</v>
      </c>
      <c r="B22" s="2" t="n">
        <v>247806</v>
      </c>
      <c r="C22" s="2" t="n">
        <v>33951419898.48</v>
      </c>
      <c r="D22" s="2" t="n">
        <v>347</v>
      </c>
      <c r="E22" s="8" t="n">
        <v>0.0014002889356997</v>
      </c>
    </row>
    <row r="23" customFormat="false" ht="15" hidden="false" customHeight="false" outlineLevel="0" collapsed="false">
      <c r="A23" s="2" t="n">
        <v>21</v>
      </c>
      <c r="B23" s="2" t="n">
        <v>194555</v>
      </c>
      <c r="C23" s="2" t="n">
        <v>26461247101.59</v>
      </c>
      <c r="D23" s="2" t="n">
        <v>351</v>
      </c>
      <c r="E23" s="8" t="n">
        <v>0.0018041170877129</v>
      </c>
    </row>
    <row r="24" customFormat="false" ht="15" hidden="false" customHeight="false" outlineLevel="0" collapsed="false">
      <c r="A24" s="2" t="n">
        <v>22</v>
      </c>
      <c r="B24" s="2" t="n">
        <v>141257</v>
      </c>
      <c r="C24" s="2" t="n">
        <v>18034511954.75</v>
      </c>
      <c r="D24" s="2" t="n">
        <v>323</v>
      </c>
      <c r="E24" s="8" t="n">
        <v>0.0022866123448749</v>
      </c>
    </row>
    <row r="25" customFormat="false" ht="15" hidden="false" customHeight="false" outlineLevel="0" collapsed="false">
      <c r="A25" s="2" t="n">
        <v>23</v>
      </c>
      <c r="B25" s="2" t="n">
        <v>71587</v>
      </c>
      <c r="C25" s="2" t="n">
        <v>9133130823</v>
      </c>
      <c r="D25" s="2" t="n">
        <v>300</v>
      </c>
      <c r="E25" s="8" t="n">
        <v>0.0041907050162739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1"/>
  </cols>
  <sheetData>
    <row r="1" customFormat="false" ht="15" hidden="false" customHeight="false" outlineLevel="0" collapsed="false">
      <c r="A1" s="11" t="s">
        <v>106</v>
      </c>
      <c r="B1" s="11" t="s">
        <v>107</v>
      </c>
      <c r="C1" s="11" t="s">
        <v>108</v>
      </c>
    </row>
    <row r="2" customFormat="false" ht="15" hidden="false" customHeight="false" outlineLevel="0" collapsed="false">
      <c r="A2" s="2" t="n">
        <v>1</v>
      </c>
      <c r="B2" s="2" t="n">
        <v>6335852</v>
      </c>
      <c r="C2" s="8" t="n">
        <v>0.998539035183248</v>
      </c>
    </row>
    <row r="3" customFormat="false" ht="15" hidden="false" customHeight="false" outlineLevel="0" collapsed="false">
      <c r="A3" s="2" t="n">
        <v>2</v>
      </c>
      <c r="B3" s="2" t="n">
        <v>9255</v>
      </c>
      <c r="C3" s="8" t="n">
        <v>0.001458600796013</v>
      </c>
    </row>
    <row r="4" customFormat="false" ht="15" hidden="false" customHeight="false" outlineLevel="0" collapsed="false">
      <c r="A4" s="2" t="n">
        <v>3</v>
      </c>
      <c r="B4" s="2" t="n">
        <v>15</v>
      </c>
      <c r="C4" s="8" t="n">
        <v>2.36402073908114E-006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1" t="s">
        <v>109</v>
      </c>
      <c r="B1" s="11" t="s">
        <v>107</v>
      </c>
      <c r="C1" s="11" t="s">
        <v>110</v>
      </c>
      <c r="D1" s="11" t="s">
        <v>45</v>
      </c>
      <c r="E1" s="11" t="s">
        <v>93</v>
      </c>
      <c r="F1" s="11" t="s">
        <v>94</v>
      </c>
      <c r="G1" s="11" t="s">
        <v>111</v>
      </c>
      <c r="H1" s="11" t="s">
        <v>103</v>
      </c>
      <c r="I1" s="11" t="s">
        <v>112</v>
      </c>
      <c r="J1" s="11" t="s">
        <v>113</v>
      </c>
    </row>
    <row r="2" customFormat="false" ht="15" hidden="false" customHeight="false" outlineLevel="0" collapsed="false">
      <c r="A2" s="2" t="s">
        <v>114</v>
      </c>
      <c r="B2" s="2" t="n">
        <v>63451</v>
      </c>
      <c r="C2" s="2" t="n">
        <v>63683</v>
      </c>
      <c r="D2" s="2" t="n">
        <v>242786828841.32</v>
      </c>
      <c r="E2" s="2" t="n">
        <v>317501955.2987</v>
      </c>
      <c r="F2" s="2" t="n">
        <v>253797611.38558</v>
      </c>
      <c r="G2" s="14" t="n">
        <v>0.0099999653276958</v>
      </c>
      <c r="H2" s="14" t="n">
        <v>0.214412255148708</v>
      </c>
      <c r="I2" s="14" t="n">
        <v>0.0445780045099271</v>
      </c>
      <c r="J2" s="14" t="n">
        <v>0.0730706922755777</v>
      </c>
    </row>
    <row r="3" customFormat="false" ht="15" hidden="false" customHeight="false" outlineLevel="0" collapsed="false">
      <c r="A3" s="2" t="s">
        <v>115</v>
      </c>
      <c r="B3" s="2" t="n">
        <v>571061</v>
      </c>
      <c r="C3" s="2" t="n">
        <v>573481</v>
      </c>
      <c r="D3" s="2" t="n">
        <v>345206160210.19</v>
      </c>
      <c r="E3" s="2" t="n">
        <v>1935087562.56925</v>
      </c>
      <c r="F3" s="2" t="n">
        <v>1141162607.99028</v>
      </c>
      <c r="G3" s="14" t="n">
        <v>0.0900000031520276</v>
      </c>
      <c r="H3" s="14" t="n">
        <v>0.30486180677564</v>
      </c>
      <c r="I3" s="14" t="n">
        <v>0.271690742849637</v>
      </c>
      <c r="J3" s="14" t="n">
        <v>0.328551326033446</v>
      </c>
    </row>
    <row r="4" customFormat="false" ht="15" hidden="false" customHeight="false" outlineLevel="0" collapsed="false">
      <c r="A4" s="2" t="s">
        <v>116</v>
      </c>
      <c r="B4" s="2" t="n">
        <v>2538049</v>
      </c>
      <c r="C4" s="2" t="n">
        <v>2542641</v>
      </c>
      <c r="D4" s="2" t="n">
        <v>479042154641.78</v>
      </c>
      <c r="E4" s="2" t="n">
        <v>4257534679.65165</v>
      </c>
      <c r="F4" s="2" t="n">
        <v>1774913715.96376</v>
      </c>
      <c r="G4" s="14" t="n">
        <v>0.400000031520277</v>
      </c>
      <c r="H4" s="14" t="n">
        <v>0.423056346088571</v>
      </c>
      <c r="I4" s="14" t="n">
        <v>0.59776765775231</v>
      </c>
      <c r="J4" s="14" t="n">
        <v>0.511014163005078</v>
      </c>
    </row>
    <row r="5" customFormat="false" ht="15" hidden="false" customHeight="false" outlineLevel="0" collapsed="false">
      <c r="A5" s="2" t="s">
        <v>117</v>
      </c>
      <c r="B5" s="2" t="n">
        <v>3172561</v>
      </c>
      <c r="C5" s="2" t="n">
        <v>3174602</v>
      </c>
      <c r="D5" s="2" t="n">
        <v>65301385638.64</v>
      </c>
      <c r="E5" s="2" t="n">
        <v>612266290.5516</v>
      </c>
      <c r="F5" s="2" t="n">
        <v>303442157.36156</v>
      </c>
      <c r="G5" s="14" t="n">
        <v>0.5</v>
      </c>
      <c r="H5" s="14" t="n">
        <v>0.0576695919870811</v>
      </c>
      <c r="I5" s="14" t="n">
        <v>0.0859635948881267</v>
      </c>
      <c r="J5" s="14" t="n">
        <v>0.0873638186858986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1" t="s">
        <v>118</v>
      </c>
      <c r="B1" s="11" t="s">
        <v>107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</row>
    <row r="2" customFormat="false" ht="15" hidden="false" customHeight="false" outlineLevel="0" collapsed="false">
      <c r="A2" s="2" t="s">
        <v>126</v>
      </c>
      <c r="B2" s="2" t="n">
        <v>6345122</v>
      </c>
      <c r="C2" s="7" t="n">
        <v>856010.160826238</v>
      </c>
      <c r="D2" s="7" t="n">
        <v>0</v>
      </c>
      <c r="E2" s="7" t="n">
        <v>0</v>
      </c>
      <c r="F2" s="7" t="n">
        <v>144733.6875</v>
      </c>
      <c r="G2" s="7" t="n">
        <v>1977536.37700001</v>
      </c>
      <c r="H2" s="7" t="n">
        <v>16179958.1662</v>
      </c>
      <c r="I2" s="2" t="n">
        <v>0.566773972194703</v>
      </c>
    </row>
    <row r="3" customFormat="false" ht="15" hidden="false" customHeight="false" outlineLevel="0" collapsed="false">
      <c r="A3" s="2" t="s">
        <v>127</v>
      </c>
      <c r="B3" s="2" t="n">
        <v>2751115</v>
      </c>
      <c r="C3" s="7" t="n">
        <v>1975838.36392724</v>
      </c>
      <c r="D3" s="7" t="n">
        <v>207837.14</v>
      </c>
      <c r="E3" s="7" t="n">
        <v>50694.315</v>
      </c>
      <c r="F3" s="7" t="n">
        <v>1501076.13</v>
      </c>
      <c r="G3" s="7" t="n">
        <v>6751831.41</v>
      </c>
      <c r="H3" s="7" t="n">
        <v>21624625.148</v>
      </c>
      <c r="I3" s="2" t="n">
        <v>3.63488985375021E-007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29"/>
  </cols>
  <sheetData>
    <row r="1" customFormat="false" ht="15" hidden="false" customHeight="false" outlineLevel="0" collapsed="false">
      <c r="A1" s="11" t="s">
        <v>128</v>
      </c>
      <c r="B1" s="11" t="s">
        <v>129</v>
      </c>
      <c r="C1" s="11" t="s">
        <v>130</v>
      </c>
      <c r="D1" s="11" t="s">
        <v>131</v>
      </c>
      <c r="E1" s="11" t="s">
        <v>132</v>
      </c>
      <c r="F1" s="11" t="s">
        <v>133</v>
      </c>
      <c r="G1" s="11" t="s">
        <v>134</v>
      </c>
    </row>
    <row r="2" customFormat="false" ht="15" hidden="false" customHeight="false" outlineLevel="0" collapsed="false">
      <c r="A2" s="2" t="s">
        <v>135</v>
      </c>
      <c r="B2" s="2" t="n">
        <v>16</v>
      </c>
      <c r="C2" s="2" t="n">
        <v>16</v>
      </c>
      <c r="D2" s="14" t="n">
        <v>1</v>
      </c>
      <c r="E2" s="14" t="n">
        <v>0.0019481310118105</v>
      </c>
      <c r="F2" s="15" t="n">
        <v>0.0038886863531413</v>
      </c>
      <c r="G2" s="14" t="n">
        <v>0.006451798559494</v>
      </c>
    </row>
    <row r="3" customFormat="false" ht="15" hidden="false" customHeight="false" outlineLevel="0" collapsed="false">
      <c r="A3" s="2" t="s">
        <v>136</v>
      </c>
      <c r="B3" s="2" t="n">
        <v>409110</v>
      </c>
      <c r="C3" s="2" t="n">
        <v>2740</v>
      </c>
      <c r="D3" s="14" t="n">
        <v>0.0066974652294004</v>
      </c>
      <c r="E3" s="14" t="n">
        <v>0.333617435772556</v>
      </c>
      <c r="F3" s="15" t="n">
        <v>0.0131313155517428</v>
      </c>
      <c r="G3" s="14" t="n">
        <v>0.494038488098707</v>
      </c>
    </row>
    <row r="4" customFormat="false" ht="15" hidden="false" customHeight="false" outlineLevel="0" collapsed="false">
      <c r="A4" s="2" t="s">
        <v>137</v>
      </c>
      <c r="B4" s="2" t="n">
        <v>2770409</v>
      </c>
      <c r="C4" s="2" t="n">
        <v>8213</v>
      </c>
      <c r="D4" s="14" t="n">
        <v>0.0029645442243365</v>
      </c>
      <c r="E4" s="14" t="n">
        <v>1</v>
      </c>
      <c r="F4" s="15" t="n">
        <v>0.0059115633576643</v>
      </c>
      <c r="G4" s="14" t="n">
        <v>1</v>
      </c>
    </row>
    <row r="5" customFormat="false" ht="15" hidden="false" customHeight="false" outlineLevel="0" collapsed="false">
      <c r="A5" s="2" t="s">
        <v>138</v>
      </c>
      <c r="B5" s="2" t="n">
        <v>8018</v>
      </c>
      <c r="C5" s="2" t="n">
        <v>8018</v>
      </c>
      <c r="D5" s="14" t="n">
        <v>1</v>
      </c>
      <c r="E5" s="14" t="n">
        <v>0.976257153293559</v>
      </c>
      <c r="F5" s="15" t="n">
        <v>0.987985952806358</v>
      </c>
      <c r="G5" s="14" t="n">
        <v>0.877365557227246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1" t="s">
        <v>139</v>
      </c>
      <c r="B1" s="11" t="s">
        <v>140</v>
      </c>
      <c r="C1" s="11" t="s">
        <v>141</v>
      </c>
      <c r="D1" s="11" t="s">
        <v>142</v>
      </c>
      <c r="E1" s="11" t="s">
        <v>143</v>
      </c>
    </row>
    <row r="2" customFormat="false" ht="15" hidden="false" customHeight="false" outlineLevel="0" collapsed="false">
      <c r="A2" s="2" t="s">
        <v>144</v>
      </c>
      <c r="B2" s="2" t="s">
        <v>145</v>
      </c>
      <c r="C2" s="2" t="s">
        <v>145</v>
      </c>
      <c r="D2" s="2" t="s">
        <v>146</v>
      </c>
      <c r="E2" s="2"/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148</v>
      </c>
      <c r="D3" s="2" t="s">
        <v>146</v>
      </c>
      <c r="E3" s="2"/>
    </row>
    <row r="4" customFormat="false" ht="15" hidden="false" customHeight="false" outlineLevel="0" collapsed="false">
      <c r="A4" s="2" t="s">
        <v>149</v>
      </c>
      <c r="B4" s="2" t="s">
        <v>148</v>
      </c>
      <c r="C4" s="2" t="s">
        <v>148</v>
      </c>
      <c r="D4" s="2" t="s">
        <v>146</v>
      </c>
      <c r="E4" s="2"/>
    </row>
    <row r="5" customFormat="false" ht="15" hidden="false" customHeight="false" outlineLevel="0" collapsed="false">
      <c r="A5" s="2" t="s">
        <v>150</v>
      </c>
      <c r="B5" s="2" t="s">
        <v>151</v>
      </c>
      <c r="C5" s="2" t="s">
        <v>148</v>
      </c>
      <c r="D5" s="2" t="s">
        <v>152</v>
      </c>
      <c r="E5" s="2" t="s">
        <v>153</v>
      </c>
    </row>
    <row r="6" customFormat="false" ht="15" hidden="false" customHeight="false" outlineLevel="0" collapsed="false">
      <c r="A6" s="2" t="s">
        <v>154</v>
      </c>
      <c r="B6" s="2" t="s">
        <v>148</v>
      </c>
      <c r="C6" s="2" t="s">
        <v>148</v>
      </c>
      <c r="D6" s="2" t="s">
        <v>146</v>
      </c>
      <c r="E6" s="2" t="s">
        <v>155</v>
      </c>
    </row>
    <row r="7" customFormat="false" ht="15" hidden="false" customHeight="false" outlineLevel="0" collapsed="false">
      <c r="A7" s="2" t="s">
        <v>156</v>
      </c>
      <c r="B7" s="2" t="s">
        <v>157</v>
      </c>
      <c r="C7" s="2" t="s">
        <v>157</v>
      </c>
      <c r="D7" s="2" t="s">
        <v>146</v>
      </c>
      <c r="E7" s="2"/>
    </row>
    <row r="8" customFormat="false" ht="15" hidden="false" customHeight="false" outlineLevel="0" collapsed="false">
      <c r="A8" s="2" t="s">
        <v>158</v>
      </c>
      <c r="B8" s="2" t="s">
        <v>159</v>
      </c>
      <c r="C8" s="2" t="s">
        <v>159</v>
      </c>
      <c r="D8" s="2" t="s">
        <v>146</v>
      </c>
      <c r="E8" s="2"/>
    </row>
    <row r="9" customFormat="false" ht="15" hidden="false" customHeight="false" outlineLevel="0" collapsed="false">
      <c r="A9" s="2" t="s">
        <v>160</v>
      </c>
      <c r="B9" s="2" t="s">
        <v>161</v>
      </c>
      <c r="C9" s="2" t="s">
        <v>161</v>
      </c>
      <c r="D9" s="2" t="s">
        <v>146</v>
      </c>
      <c r="E9" s="2" t="s">
        <v>162</v>
      </c>
    </row>
    <row r="10" customFormat="false" ht="15" hidden="false" customHeight="false" outlineLevel="0" collapsed="false">
      <c r="A10" s="2" t="s">
        <v>163</v>
      </c>
      <c r="B10" s="2" t="s">
        <v>164</v>
      </c>
      <c r="C10" s="2" t="s">
        <v>164</v>
      </c>
      <c r="D10" s="2" t="s">
        <v>146</v>
      </c>
      <c r="E10" s="2"/>
    </row>
    <row r="11" customFormat="false" ht="15" hidden="false" customHeight="false" outlineLevel="0" collapsed="false">
      <c r="A11" s="2" t="s">
        <v>165</v>
      </c>
      <c r="B11" s="2" t="s">
        <v>157</v>
      </c>
      <c r="C11" s="2" t="s">
        <v>157</v>
      </c>
      <c r="D11" s="2" t="s">
        <v>146</v>
      </c>
      <c r="E11" s="2"/>
    </row>
    <row r="12" customFormat="false" ht="15" hidden="false" customHeight="false" outlineLevel="0" collapsed="false">
      <c r="A12" s="2" t="s">
        <v>166</v>
      </c>
      <c r="B12" s="2" t="s">
        <v>157</v>
      </c>
      <c r="C12" s="2" t="s">
        <v>157</v>
      </c>
      <c r="D12" s="2" t="s">
        <v>146</v>
      </c>
      <c r="E12" s="2"/>
    </row>
    <row r="13" customFormat="false" ht="15" hidden="false" customHeight="false" outlineLevel="0" collapsed="false">
      <c r="A13" s="2" t="s">
        <v>167</v>
      </c>
      <c r="B13" s="2" t="s">
        <v>157</v>
      </c>
      <c r="C13" s="2" t="s">
        <v>157</v>
      </c>
      <c r="D13" s="2" t="s">
        <v>146</v>
      </c>
      <c r="E13" s="2"/>
    </row>
    <row r="14" customFormat="false" ht="15" hidden="false" customHeight="false" outlineLevel="0" collapsed="false">
      <c r="A14" s="2" t="s">
        <v>168</v>
      </c>
      <c r="B14" s="2" t="s">
        <v>169</v>
      </c>
      <c r="C14" s="2" t="s">
        <v>170</v>
      </c>
      <c r="D14" s="2" t="s">
        <v>152</v>
      </c>
      <c r="E14" s="2" t="s">
        <v>171</v>
      </c>
    </row>
    <row r="15" customFormat="false" ht="15" hidden="false" customHeight="false" outlineLevel="0" collapsed="false">
      <c r="A15" s="2" t="s">
        <v>172</v>
      </c>
      <c r="B15" s="2" t="s">
        <v>173</v>
      </c>
      <c r="C15" s="2" t="s">
        <v>148</v>
      </c>
      <c r="D15" s="2" t="s">
        <v>152</v>
      </c>
      <c r="E15" s="2" t="s">
        <v>174</v>
      </c>
    </row>
    <row r="16" customFormat="false" ht="15" hidden="false" customHeight="false" outlineLevel="0" collapsed="false">
      <c r="A16" s="2" t="s">
        <v>175</v>
      </c>
      <c r="B16" s="2" t="s">
        <v>176</v>
      </c>
      <c r="C16" s="2" t="s">
        <v>148</v>
      </c>
      <c r="D16" s="2" t="s">
        <v>152</v>
      </c>
      <c r="E16" s="2" t="s">
        <v>177</v>
      </c>
    </row>
    <row r="17" customFormat="false" ht="15" hidden="false" customHeight="false" outlineLevel="0" collapsed="false">
      <c r="A17" s="2" t="s">
        <v>178</v>
      </c>
      <c r="B17" s="2" t="s">
        <v>179</v>
      </c>
      <c r="C17" s="2" t="s">
        <v>170</v>
      </c>
      <c r="D17" s="2" t="s">
        <v>152</v>
      </c>
      <c r="E17" s="2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2026-10-26T05:52:49Z</dcterms:created>
  <dc:creator>openpyxl</dc:creator>
  <dc:description/>
  <dc:language>en-US</dc:language>
  <cp:lastModifiedBy/>
  <dcterms:modified xsi:type="dcterms:W3CDTF">2026-10-26T05:52:55Z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